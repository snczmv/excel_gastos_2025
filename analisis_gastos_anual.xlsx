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Mauro\Documents\Porfolio\analisis de datos\"/>
    </mc:Choice>
  </mc:AlternateContent>
  <xr:revisionPtr revIDLastSave="0" documentId="13_ncr:1_{73CCE938-4D80-4D21-A20B-AADC474F8F79}" xr6:coauthVersionLast="47" xr6:coauthVersionMax="47" xr10:uidLastSave="{00000000-0000-0000-0000-000000000000}"/>
  <bookViews>
    <workbookView xWindow="-120" yWindow="-120" windowWidth="20640" windowHeight="11160" firstSheet="1" activeTab="3" xr2:uid="{47AFDC91-8BD1-42E4-A60E-B1B580130478}"/>
  </bookViews>
  <sheets>
    <sheet name="gastos_2025_dataset" sheetId="2" r:id="rId1"/>
    <sheet name="kpis" sheetId="3" r:id="rId2"/>
    <sheet name="tablas_dinamicas" sheetId="4" r:id="rId3"/>
    <sheet name="dashboard" sheetId="5" r:id="rId4"/>
  </sheets>
  <definedNames>
    <definedName name="ExternalData_1" localSheetId="0" hidden="1">gastos_2025_dataset!$A$1:$M$135</definedName>
    <definedName name="Slicer_Categoría">#N/A</definedName>
    <definedName name="Slicer_En_cuotas">#N/A</definedName>
    <definedName name="Slicer_Medio_de_pago">#N/A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3" l="1"/>
  <c r="J6" i="3"/>
  <c r="B26" i="3" a="1"/>
  <c r="B26" i="3" s="1"/>
  <c r="C26" i="3" s="1"/>
  <c r="A18" i="3" a="1"/>
  <c r="A18" i="3" s="1"/>
  <c r="B18" i="3" s="1"/>
  <c r="B13" i="3"/>
  <c r="B12" i="3"/>
  <c r="A9" i="3"/>
  <c r="G4" i="3"/>
  <c r="F2" i="3" a="1"/>
  <c r="G13" i="3" s="1"/>
  <c r="C2" i="3" a="1"/>
  <c r="D4" i="3" s="1"/>
  <c r="A2" i="3"/>
  <c r="A6" i="3" s="1"/>
  <c r="J5" i="3" s="1"/>
  <c r="F34" i="4"/>
  <c r="E34" i="4"/>
  <c r="B15" i="3" l="1"/>
  <c r="C18" i="3"/>
  <c r="B9" i="3"/>
  <c r="J4" i="3" s="1"/>
  <c r="D3" i="3"/>
  <c r="B14" i="3"/>
  <c r="G10" i="3"/>
  <c r="F2" i="3"/>
  <c r="G2" i="3" s="1"/>
  <c r="J3" i="3"/>
  <c r="D5" i="3"/>
  <c r="D6" i="3"/>
  <c r="G7" i="3"/>
  <c r="G9" i="3"/>
  <c r="B20" i="3"/>
  <c r="C20" i="3" s="1"/>
  <c r="B22" i="3"/>
  <c r="C22" i="3" s="1"/>
  <c r="C28" i="3"/>
  <c r="D28" i="3" s="1"/>
  <c r="C30" i="3"/>
  <c r="C32" i="3"/>
  <c r="C34" i="3"/>
  <c r="D34" i="3" s="1"/>
  <c r="C36" i="3"/>
  <c r="C2" i="3"/>
  <c r="D2" i="3" s="1"/>
  <c r="G5" i="3"/>
  <c r="G6" i="3"/>
  <c r="J9" i="3"/>
  <c r="G12" i="3"/>
  <c r="C27" i="3"/>
  <c r="C29" i="3"/>
  <c r="D29" i="3" s="1"/>
  <c r="C31" i="3"/>
  <c r="D31" i="3" s="1"/>
  <c r="C33" i="3"/>
  <c r="D33" i="3" s="1"/>
  <c r="C35" i="3"/>
  <c r="C37" i="3"/>
  <c r="D37" i="3" s="1"/>
  <c r="B19" i="3"/>
  <c r="C19" i="3" s="1"/>
  <c r="B21" i="3"/>
  <c r="C21" i="3" s="1"/>
  <c r="G3" i="3"/>
  <c r="G8" i="3"/>
  <c r="G11" i="3"/>
  <c r="G34" i="4"/>
  <c r="H34" i="4" s="1"/>
  <c r="D35" i="3" l="1"/>
  <c r="D27" i="3"/>
  <c r="D32" i="3"/>
  <c r="D30" i="3"/>
  <c r="D36" i="3"/>
  <c r="D26" i="3"/>
  <c r="J7" i="3" l="1" a="1"/>
  <c r="J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D1E524-76E1-4118-9000-34F9F7F63787}" keepAlive="1" name="Query - gastos_2025_dataset" description="Connection to the 'gastos_2025_dataset' query in the workbook." type="5" refreshedVersion="8" background="1" saveData="1">
    <dbPr connection="Provider=Microsoft.Mashup.OleDb.1;Data Source=$Workbook$;Location=gastos_2025_dataset;Extended Properties=&quot;&quot;" command="SELECT * FROM [gastos_2025_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<sst xmlns="http://schemas.openxmlformats.org/spreadsheetml/2006/main" count="886" uniqueCount="90">
  <si>
    <t>Fecha</t>
  </si>
  <si>
    <t>Categoría</t>
  </si>
  <si>
    <t>Descripción</t>
  </si>
  <si>
    <t>Monto</t>
  </si>
  <si>
    <t>Medio de pago</t>
  </si>
  <si>
    <t>N° cuota</t>
  </si>
  <si>
    <t>Total cuotas</t>
  </si>
  <si>
    <t>Transporte</t>
  </si>
  <si>
    <t>Recarga SUBE</t>
  </si>
  <si>
    <t>Tarjeta débito</t>
  </si>
  <si>
    <t>No</t>
  </si>
  <si>
    <t>Servicios</t>
  </si>
  <si>
    <t>Luz</t>
  </si>
  <si>
    <t>Débito automático</t>
  </si>
  <si>
    <t>Ocio</t>
  </si>
  <si>
    <t>Compra PC</t>
  </si>
  <si>
    <t>Tarjeta crédito</t>
  </si>
  <si>
    <t>Sí</t>
  </si>
  <si>
    <t>Supermercado</t>
  </si>
  <si>
    <t>Alimentos</t>
  </si>
  <si>
    <t>Efectivo</t>
  </si>
  <si>
    <t>Agua</t>
  </si>
  <si>
    <t>Gas</t>
  </si>
  <si>
    <t>Cable</t>
  </si>
  <si>
    <t>Teléfono</t>
  </si>
  <si>
    <t>Uber</t>
  </si>
  <si>
    <t>Educación</t>
  </si>
  <si>
    <t>Curso online</t>
  </si>
  <si>
    <t>Utensilios de cocina</t>
  </si>
  <si>
    <t>Ropa</t>
  </si>
  <si>
    <t>Cuota universidad</t>
  </si>
  <si>
    <t>Transferencia</t>
  </si>
  <si>
    <t>Zapatillas</t>
  </si>
  <si>
    <t>Salida</t>
  </si>
  <si>
    <t>Libros</t>
  </si>
  <si>
    <t>Auriculares</t>
  </si>
  <si>
    <t>Compras</t>
  </si>
  <si>
    <t>Celular</t>
  </si>
  <si>
    <t>Valija</t>
  </si>
  <si>
    <t>Cargador celular</t>
  </si>
  <si>
    <t>Perfume</t>
  </si>
  <si>
    <t>Gasto total</t>
  </si>
  <si>
    <t>Gasto promedio mensual</t>
  </si>
  <si>
    <t>En cuotas</t>
  </si>
  <si>
    <t>Año</t>
  </si>
  <si>
    <t>Mes</t>
  </si>
  <si>
    <t>Año_mes</t>
  </si>
  <si>
    <t>Tipo de gasto</t>
  </si>
  <si>
    <t>2025-1</t>
  </si>
  <si>
    <t>Variable</t>
  </si>
  <si>
    <t>Fijo</t>
  </si>
  <si>
    <t>2025-2</t>
  </si>
  <si>
    <t>2025-3</t>
  </si>
  <si>
    <t>2025-4</t>
  </si>
  <si>
    <t>2025-5</t>
  </si>
  <si>
    <t>2025-6</t>
  </si>
  <si>
    <t>2025-7</t>
  </si>
  <si>
    <t>2025-8</t>
  </si>
  <si>
    <t>2025-9</t>
  </si>
  <si>
    <t>2025-10</t>
  </si>
  <si>
    <t>2025-11</t>
  </si>
  <si>
    <t>2025-12</t>
  </si>
  <si>
    <t>Acumulado</t>
  </si>
  <si>
    <t>Gasto en cuotas</t>
  </si>
  <si>
    <t>% del total</t>
  </si>
  <si>
    <t>Gastos fijos</t>
  </si>
  <si>
    <t>Gastos variables</t>
  </si>
  <si>
    <t>% de gastos fijos</t>
  </si>
  <si>
    <t>% de gastos variables</t>
  </si>
  <si>
    <t>Grand Total</t>
  </si>
  <si>
    <t>Gasto mensual total</t>
  </si>
  <si>
    <t>Gasto mensual por categoria</t>
  </si>
  <si>
    <t>Column Labels</t>
  </si>
  <si>
    <t>Gasto total por categoria</t>
  </si>
  <si>
    <t>Total</t>
  </si>
  <si>
    <t>Gasto fijo vs variable</t>
  </si>
  <si>
    <t>Gasto por medio de pago</t>
  </si>
  <si>
    <t>Impacto de cuotas por mes</t>
  </si>
  <si>
    <t>Gasto sin cuotas</t>
  </si>
  <si>
    <t>Gasto ($)</t>
  </si>
  <si>
    <t>% en cuotas</t>
  </si>
  <si>
    <t>Gasto total anual</t>
  </si>
  <si>
    <t>% de gasto en cuotas</t>
  </si>
  <si>
    <t>Mes con mayor gasto</t>
  </si>
  <si>
    <t>Mes con mayor % de cuotas</t>
  </si>
  <si>
    <t>Categoría con mayor gasto</t>
  </si>
  <si>
    <t>Gasto total en cuotas</t>
  </si>
  <si>
    <t>Gasto en cuotas x mes</t>
  </si>
  <si>
    <t>% del mes</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</si>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</sst>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43" formatCode="_-* #,##0.00_-;\-* #,##0.00_-;_-* &quot;-&quot;??_-;_-@_-"/>
    <numFmt numFmtId="164" formatCode="_-[$$-2C0A]\ * #,##0.00_-;\-[$$-2C0A]\ * #,##0.00_-;_-[$$-2C0A]\ * &quot;-&quot;??_-;_-@_-"/>
  </numFmts>
  <fonts count="6" x14ac:knownFonts="1">
    <font>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2" borderId="0" applyNumberFormat="0" applyBorder="0" applyAlignment="0" applyProtection="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3" borderId="0" applyNumberFormat="0" applyBorder="0" applyAlignment="0" applyProtection="0"/>
  </cellStyleXfs>
  <cellXfs count="21">
    <xf numFmtId="0" fontId="0" fillId="0" borderId="0" xfId="0"/>
    <xf numFmtId="14" fontId="0" fillId="0" borderId="0" xfId="0" applyNumberFormat="1"/>
    <xf numFmtId="0" fontId="0" fillId="0" borderId="0" xfId="0" applyAlignment="1">
      <alignment horizontal="center" vertical="center"/>
    </xf>
    <xf numFmtId="0" fontId="0" fillId="0" borderId="1" xfId="0" applyBorder="1" applyAlignment="1">
      <alignment horizontal="center" vertical="center"/>
    </xf>
    <xf numFmtId="0" fontId="1" fillId="2" borderId="1" xfId="1" applyFont="1" applyBorder="1" applyAlignment="1">
      <alignment horizontal="center" vertical="center"/>
    </xf>
    <xf numFmtId="44" fontId="0" fillId="0" borderId="0" xfId="0" applyNumberFormat="1"/>
    <xf numFmtId="2"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xf>
    <xf numFmtId="0" fontId="5" fillId="3" borderId="0" xfId="5" applyFont="1" applyAlignment="1">
      <alignment horizontal="center" vertical="center"/>
    </xf>
    <xf numFmtId="43" fontId="0" fillId="0" borderId="1" xfId="2" applyFont="1" applyBorder="1" applyAlignment="1">
      <alignment horizontal="center" vertical="center"/>
    </xf>
    <xf numFmtId="0" fontId="0" fillId="4" borderId="0" xfId="0" applyFill="1"/>
    <xf numFmtId="0" fontId="0" fillId="0" borderId="1" xfId="3" applyNumberFormat="1" applyFont="1" applyBorder="1" applyAlignment="1">
      <alignment horizontal="center" vertical="center"/>
    </xf>
    <xf numFmtId="9" fontId="0" fillId="0" borderId="1" xfId="4" applyFont="1" applyBorder="1" applyAlignment="1">
      <alignment horizontal="center" vertical="center"/>
    </xf>
    <xf numFmtId="2" fontId="0" fillId="0" borderId="0" xfId="0" applyNumberFormat="1"/>
    <xf numFmtId="164" fontId="0" fillId="0" borderId="1" xfId="3" applyNumberFormat="1" applyFont="1" applyBorder="1" applyAlignment="1">
      <alignment horizontal="center" vertical="center"/>
    </xf>
    <xf numFmtId="164" fontId="0" fillId="0" borderId="0" xfId="0" applyNumberFormat="1"/>
    <xf numFmtId="164" fontId="0" fillId="0" borderId="0" xfId="0" applyNumberFormat="1" applyAlignment="1">
      <alignment horizontal="center" vertical="center"/>
    </xf>
    <xf numFmtId="164" fontId="0" fillId="0" borderId="1" xfId="0" applyNumberFormat="1" applyBorder="1" applyAlignment="1">
      <alignment horizontal="center" vertical="center"/>
    </xf>
  </cellXfs>
  <cellStyles count="6">
    <cellStyle name="40% - Accent1" xfId="5" builtinId="31"/>
    <cellStyle name="Accent1" xfId="1" builtinId="29"/>
    <cellStyle name="Comma" xfId="2" builtinId="3"/>
    <cellStyle name="Currency" xfId="3" builtinId="4"/>
    <cellStyle name="Normal" xfId="0" builtinId="0"/>
    <cellStyle name="Percent" xfId="4" builtinId="5"/>
  </cellStyles>
  <dxfs count="2372">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19" formatCode="d/m/yyyy"/>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vertical="center"/>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numFmt numFmtId="0" formatCode="General"/>
    </dxf>
    <dxf>
      <alignment horizont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34" formatCode="_-&quot;$&quot;\ * #,##0.00_-;\-&quot;$&quot;\ * #,##0.00_-;_-&quot;$&quot;\ * &quot;-&quot;??_-;_-@_-"/>
    </dxf>
    <dxf>
      <alignment horizontal="center"/>
    </dxf>
    <dxf>
      <alignment vertical="center"/>
    </dxf>
    <dxf>
      <alignment horizontal="center"/>
    </dxf>
    <dxf>
      <alignment horizontal="center"/>
    </dxf>
    <dxf>
      <alignment vertical="center"/>
    </dxf>
    <dxf>
      <alignment vertical="center"/>
    </dxf>
    <dxf>
      <numFmt numFmtId="164" formatCode="_-[$$-2C0A]\ * #,##0.00_-;\-[$$-2C0A]\ * #,##0.00_-;_-[$$-2C0A]\ * &quot;-&quot;??_-;_-@_-"/>
    </dxf>
    <dxf>
      <alignment horizontal="center"/>
    </dxf>
    <dxf>
      <alignment vertical="center"/>
    </dxf>
    <dxf>
      <alignment horizontal="center"/>
    </dxf>
    <dxf>
      <alignment vertical="center"/>
    </dxf>
    <dxf>
      <numFmt numFmtId="164" formatCode="_-[$$-2C0A]\ * #,##0.00_-;\-[$$-2C0A]\ * #,##0.00_-;_-[$$-2C0A]\ * &quot;-&quot;??_-;_-@_-"/>
    </dxf>
    <dxf>
      <numFmt numFmtId="164" formatCode="_-[$$-2C0A]\ * #,##0.00_-;\-[$$-2C0A]\ * #,##0.00_-;_-[$$-2C0A]\ * &quot;-&quot;??_-;_-@_-"/>
    </dxf>
    <dxf>
      <alignment vertical="center"/>
    </dxf>
    <dxf>
      <alignment horizontal="center"/>
    </dxf>
    <dxf>
      <alignment vertical="center"/>
    </dxf>
    <dxf>
      <alignment horizontal="center"/>
    </dxf>
    <dxf>
      <numFmt numFmtId="164" formatCode="_-[$$-2C0A]\ * #,##0.00_-;\-[$$-2C0A]\ * #,##0.00_-;_-[$$-2C0A]\ * &quot;-&quot;??_-;_-@_-"/>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numFmt numFmtId="34" formatCode="_-&quot;$&quot;\ * #,##0.00_-;\-&quot;$&quot;\ * #,##0.00_-;_-&quot;$&quot;\ * &quot;-&quot;??_-;_-@_-"/>
    </dxf>
    <dxf>
      <numFmt numFmtId="164" formatCode="_-[$$-2C0A]\ * #,##0.00_-;\-[$$-2C0A]\ * #,##0.00_-;_-[$$-2C0A]\ * &quot;-&quot;??_-;_-@_-"/>
    </dxf>
    <dxf>
      <alignment vertical="center"/>
    </dxf>
    <dxf>
      <alignment vertical="center"/>
    </dxf>
    <dxf>
      <alignment horizontal="center"/>
    </dxf>
    <dxf>
      <alignment horizontal="center"/>
    </dxf>
    <dxf>
      <alignment vertical="center"/>
    </dxf>
    <dxf>
      <alignment horizontal="center"/>
    </dxf>
    <dxf>
      <numFmt numFmtId="34" formatCode="_-&quot;$&quot;\ * #,##0.00_-;\-&quot;$&quot;\ * #,##0.00_-;_-&quot;$&quot;\ * &quot;-&quot;??_-;_-@_-"/>
    </dxf>
    <dxf>
      <numFmt numFmtId="164" formatCode="_-[$$-2C0A]\ * #,##0.00_-;\-[$$-2C0A]\ * #,##0.00_-;_-[$$-2C0A]\ * &quot;-&quot;??_-;_-@_-"/>
    </dxf>
    <dxf>
      <alignment vertical="center"/>
    </dxf>
    <dxf>
      <alignment horizontal="center"/>
    </dxf>
    <dxf>
      <alignment vertic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[analisis_gastos_anual.xlsx]tablas_dinamicas!PivotTable3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Evolución del gasto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tablas_dinamicas!$B$2</c:f>
              <c:strCache>
                <c:ptCount val="1"/>
                <c:pt idx="0">
                  <c:v>Total</c:v>
                </c:pt>
              </c:strCache>
            </c:strRef>
          </c:tx>
          <c:spPr>
            <a:ln w="28575" cap="rnd">
              <a:solidFill>
                <a:schemeClr val="accent1"/>
              </a:solidFill>
              <a:round/>
            </a:ln>
            <a:effectLst/>
          </c:spPr>
          <c:marker>
            <c:symbol val="none"/>
          </c:marker>
          <c:cat>
            <c:strRef>
              <c:f>tablas_dinamicas!$A$3:$A$14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tablas_dinamicas!$B$3:$B$14</c:f>
              <c:numCache>
                <c:formatCode>_-[$$-2C0A]\ * #,##0.00_-;\-[$$-2C0A]\ * #,##0.00_-;_-[$$-2C0A]\ * "-"??_-;_-@_-</c:formatCode>
                <c:ptCount val="12"/>
                <c:pt idx="0">
                  <c:v>235560.2</c:v>
                </c:pt>
                <c:pt idx="1">
                  <c:v>203472.44</c:v>
                </c:pt>
                <c:pt idx="2">
                  <c:v>440364.44</c:v>
                </c:pt>
                <c:pt idx="3">
                  <c:v>214859.44</c:v>
                </c:pt>
                <c:pt idx="4">
                  <c:v>306452.74</c:v>
                </c:pt>
                <c:pt idx="5">
                  <c:v>314617.44</c:v>
                </c:pt>
                <c:pt idx="6">
                  <c:v>230777</c:v>
                </c:pt>
                <c:pt idx="7">
                  <c:v>286420</c:v>
                </c:pt>
                <c:pt idx="8">
                  <c:v>491059</c:v>
                </c:pt>
                <c:pt idx="9">
                  <c:v>296131</c:v>
                </c:pt>
                <c:pt idx="10">
                  <c:v>380612</c:v>
                </c:pt>
                <c:pt idx="11">
                  <c:v>377107.78</c:v>
                </c:pt>
              </c:numCache>
            </c:numRef>
          </c:val>
          <c:smooth val="0"/>
          <c:extLst>
            <c:ext xmlns:c16="http://schemas.microsoft.com/office/drawing/2014/chart" uri="{C3380CC4-5D6E-409C-BE32-E72D297353CC}">
              <c16:uniqueId val="{00000002-99F3-49F8-A0D5-420B3A0B9B86}"/>
            </c:ext>
          </c:extLst>
        </c:ser>
        <c:dLbls>
          <c:showLegendKey val="0"/>
          <c:showVal val="0"/>
          <c:showCatName val="0"/>
          <c:showSerName val="0"/>
          <c:showPercent val="0"/>
          <c:showBubbleSize val="0"/>
        </c:dLbls>
        <c:smooth val="0"/>
        <c:axId val="661264127"/>
        <c:axId val="1657933743"/>
      </c:lineChart>
      <c:catAx>
        <c:axId val="661264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57933743"/>
        <c:crosses val="autoZero"/>
        <c:auto val="1"/>
        <c:lblAlgn val="ctr"/>
        <c:lblOffset val="100"/>
        <c:noMultiLvlLbl val="0"/>
      </c:catAx>
      <c:valAx>
        <c:axId val="1657933743"/>
        <c:scaling>
          <c:orientation val="minMax"/>
        </c:scaling>
        <c:delete val="0"/>
        <c:axPos val="l"/>
        <c:majorGridlines>
          <c:spPr>
            <a:ln w="9525" cap="flat" cmpd="sng" algn="ctr">
              <a:solidFill>
                <a:schemeClr val="tx1">
                  <a:lumMod val="15000"/>
                  <a:lumOff val="85000"/>
                </a:schemeClr>
              </a:solidFill>
              <a:round/>
            </a:ln>
            <a:effectLst/>
          </c:spPr>
        </c:majorGridlines>
        <c:numFmt formatCode="_-[$$-2C0A]\ * #,##0.00_-;\-[$$-2C0A]\ * #,##0.00_-;_-[$$-2C0A]\ *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126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2">
          <a:lumMod val="75000"/>
          <a:lumOff val="25000"/>
          <a:alpha val="60000"/>
        </a:schemeClr>
      </a:outerShdw>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s-AR" sz="1400" b="0" i="0" u="none" strike="noStrike" kern="1200" spc="0" baseline="0">
                <a:solidFill>
                  <a:sysClr val="windowText" lastClr="000000">
                    <a:lumMod val="65000"/>
                    <a:lumOff val="35000"/>
                  </a:sysClr>
                </a:solidFill>
                <a:latin typeface="+mn-lt"/>
                <a:ea typeface="+mn-ea"/>
                <a:cs typeface="+mn-cs"/>
              </a:defRPr>
            </a:pPr>
            <a:r>
              <a:rPr lang="es-AR" sz="1400" b="0" i="0" u="none" strike="noStrike" kern="1200" spc="0" baseline="0">
                <a:solidFill>
                  <a:sysClr val="windowText" lastClr="000000">
                    <a:lumMod val="65000"/>
                    <a:lumOff val="35000"/>
                  </a:sysClr>
                </a:solidFill>
                <a:latin typeface="+mn-lt"/>
                <a:ea typeface="+mn-ea"/>
                <a:cs typeface="+mn-cs"/>
              </a:rPr>
              <a:t>Impacto de cuotas por mes</a:t>
            </a:r>
          </a:p>
        </c:rich>
      </c:tx>
      <c:overlay val="0"/>
      <c:spPr>
        <a:noFill/>
        <a:ln>
          <a:noFill/>
        </a:ln>
        <a:effectLst/>
      </c:spPr>
      <c:txPr>
        <a:bodyPr rot="0" spcFirstLastPara="1" vertOverflow="ellipsis" vert="horz" wrap="square" anchor="ctr" anchorCtr="1"/>
        <a:lstStyle/>
        <a:p>
          <a:pPr algn="ctr" rtl="0">
            <a:defRPr lang="es-AR" sz="1400" b="0" i="0" u="none" strike="noStrike" kern="1200" spc="0" baseline="0">
              <a:solidFill>
                <a:sysClr val="windowText" lastClr="000000">
                  <a:lumMod val="65000"/>
                  <a:lumOff val="35000"/>
                </a:sys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cat>
            <c:numRef>
              <c:f>kpis!$B$26:$B$37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kpis!$C$26:$C$37</c:f>
              <c:numCache>
                <c:formatCode>0.00</c:formatCode>
                <c:ptCount val="12"/>
                <c:pt idx="0">
                  <c:v>55972.44</c:v>
                </c:pt>
                <c:pt idx="1">
                  <c:v>55972.44</c:v>
                </c:pt>
                <c:pt idx="2">
                  <c:v>55972.44</c:v>
                </c:pt>
                <c:pt idx="3">
                  <c:v>36546.44</c:v>
                </c:pt>
                <c:pt idx="4">
                  <c:v>45621.440000000002</c:v>
                </c:pt>
                <c:pt idx="5">
                  <c:v>45621.440000000002</c:v>
                </c:pt>
                <c:pt idx="6">
                  <c:v>9075</c:v>
                </c:pt>
                <c:pt idx="7">
                  <c:v>159241</c:v>
                </c:pt>
                <c:pt idx="8">
                  <c:v>186998</c:v>
                </c:pt>
                <c:pt idx="9">
                  <c:v>186998</c:v>
                </c:pt>
                <c:pt idx="10">
                  <c:v>177923</c:v>
                </c:pt>
                <c:pt idx="11">
                  <c:v>150166</c:v>
                </c:pt>
              </c:numCache>
            </c:numRef>
          </c:val>
          <c:extLst>
            <c:ext xmlns:c16="http://schemas.microsoft.com/office/drawing/2014/chart" uri="{C3380CC4-5D6E-409C-BE32-E72D297353CC}">
              <c16:uniqueId val="{00000000-814C-4659-99D9-E75C799BFF46}"/>
            </c:ext>
          </c:extLst>
        </c:ser>
        <c:dLbls>
          <c:showLegendKey val="0"/>
          <c:showVal val="0"/>
          <c:showCatName val="0"/>
          <c:showSerName val="0"/>
          <c:showPercent val="0"/>
          <c:showBubbleSize val="0"/>
        </c:dLbls>
        <c:gapWidth val="219"/>
        <c:overlap val="-27"/>
        <c:axId val="933106319"/>
        <c:axId val="933103439"/>
      </c:barChart>
      <c:catAx>
        <c:axId val="93310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AR"/>
          </a:p>
        </c:txPr>
        <c:crossAx val="933103439"/>
        <c:crosses val="autoZero"/>
        <c:auto val="1"/>
        <c:lblAlgn val="ctr"/>
        <c:lblOffset val="100"/>
        <c:noMultiLvlLbl val="0"/>
      </c:catAx>
      <c:valAx>
        <c:axId val="933103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AR"/>
          </a:p>
        </c:txPr>
        <c:crossAx val="933106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schemeClr val="tx2">
          <a:lumMod val="75000"/>
          <a:lumOff val="25000"/>
          <a:alpha val="60000"/>
        </a:schemeClr>
      </a:outerShdw>
    </a:effectLst>
  </c:spPr>
  <c:txPr>
    <a:bodyPr/>
    <a:lstStyle/>
    <a:p>
      <a:pPr>
        <a:defRPr lang="en-US" sz="1000" b="0" i="0" u="none" strike="noStrike" kern="1200" baseline="0">
          <a:solidFill>
            <a:schemeClr val="tx1"/>
          </a:solidFill>
          <a:latin typeface="+mn-lt"/>
          <a:ea typeface="+mn-ea"/>
          <a:cs typeface="+mn-cs"/>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[analisis_gastos_anual.xlsx]tablas_dinamicas!PivotTable5</c:name>
    <c:fmtId val="3"/>
  </c:pivotSource>
  <c:chart>
    <c:title>
      <c:tx>
        <c:rich>
          <a:bodyPr rot="0" spcFirstLastPara="1" vertOverflow="ellipsis" vert="horz" wrap="square" anchor="ctr" anchorCtr="1"/>
          <a:lstStyle/>
          <a:p>
            <a:pPr algn="ctr" rtl="0">
              <a:defRPr lang="es-AR" sz="1400" b="0" i="0" u="none" strike="noStrike" kern="1200" spc="0" baseline="0">
                <a:solidFill>
                  <a:sysClr val="windowText" lastClr="000000">
                    <a:lumMod val="65000"/>
                    <a:lumOff val="35000"/>
                  </a:sysClr>
                </a:solidFill>
                <a:latin typeface="+mn-lt"/>
                <a:ea typeface="+mn-ea"/>
                <a:cs typeface="+mn-cs"/>
              </a:defRPr>
            </a:pPr>
            <a:r>
              <a:rPr lang="es-AR" sz="1400" b="0" i="0" u="none" strike="noStrike" kern="1200" spc="0" baseline="0">
                <a:solidFill>
                  <a:sysClr val="windowText" lastClr="000000">
                    <a:lumMod val="65000"/>
                    <a:lumOff val="35000"/>
                  </a:sysClr>
                </a:solidFill>
                <a:latin typeface="+mn-lt"/>
                <a:ea typeface="+mn-ea"/>
                <a:cs typeface="+mn-cs"/>
              </a:rPr>
              <a:t>Gasto por categoría</a:t>
            </a:r>
          </a:p>
        </c:rich>
      </c:tx>
      <c:overlay val="0"/>
      <c:spPr>
        <a:noFill/>
        <a:ln>
          <a:noFill/>
        </a:ln>
        <a:effectLst/>
      </c:spPr>
      <c:txPr>
        <a:bodyPr rot="0" spcFirstLastPara="1" vertOverflow="ellipsis" vert="horz" wrap="square" anchor="ctr" anchorCtr="1"/>
        <a:lstStyle/>
        <a:p>
          <a:pPr algn="ctr" rtl="0">
            <a:defRPr lang="es-AR" sz="1400" b="0" i="0" u="none" strike="noStrike" kern="1200" spc="0" baseline="0">
              <a:solidFill>
                <a:sysClr val="windowText" lastClr="000000">
                  <a:lumMod val="65000"/>
                  <a:lumOff val="35000"/>
                </a:sys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1728785713847147"/>
              <c:y val="0.18981481481481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1055401032744459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7279348881515069"/>
              <c:y val="-0.10185185185185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2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722222222222222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tablas_dinamicas!$B$22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3-6229-4925-A76F-071093F9647A}"/>
              </c:ext>
            </c:extLst>
          </c:dPt>
          <c:dPt>
            <c:idx val="1"/>
            <c:bubble3D val="0"/>
            <c:spPr>
              <a:solidFill>
                <a:schemeClr val="accent2"/>
              </a:solidFill>
              <a:ln>
                <a:noFill/>
              </a:ln>
              <a:effectLst/>
            </c:spPr>
            <c:extLst>
              <c:ext xmlns:c16="http://schemas.microsoft.com/office/drawing/2014/chart" uri="{C3380CC4-5D6E-409C-BE32-E72D297353CC}">
                <c16:uniqueId val="{00000002-6229-4925-A76F-071093F9647A}"/>
              </c:ext>
            </c:extLst>
          </c:dPt>
          <c:dPt>
            <c:idx val="2"/>
            <c:bubble3D val="0"/>
            <c:spPr>
              <a:solidFill>
                <a:schemeClr val="accent3"/>
              </a:solidFill>
              <a:ln>
                <a:noFill/>
              </a:ln>
              <a:effectLst/>
            </c:spPr>
            <c:extLst>
              <c:ext xmlns:c16="http://schemas.microsoft.com/office/drawing/2014/chart" uri="{C3380CC4-5D6E-409C-BE32-E72D297353CC}">
                <c16:uniqueId val="{00000004-6229-4925-A76F-071093F9647A}"/>
              </c:ext>
            </c:extLst>
          </c:dPt>
          <c:dPt>
            <c:idx val="3"/>
            <c:bubble3D val="0"/>
            <c:spPr>
              <a:solidFill>
                <a:schemeClr val="accent4"/>
              </a:solidFill>
              <a:ln>
                <a:noFill/>
              </a:ln>
              <a:effectLst/>
            </c:spPr>
            <c:extLst>
              <c:ext xmlns:c16="http://schemas.microsoft.com/office/drawing/2014/chart" uri="{C3380CC4-5D6E-409C-BE32-E72D297353CC}">
                <c16:uniqueId val="{00000005-6229-4925-A76F-071093F9647A}"/>
              </c:ext>
            </c:extLst>
          </c:dPt>
          <c:dPt>
            <c:idx val="4"/>
            <c:bubble3D val="0"/>
            <c:spPr>
              <a:solidFill>
                <a:schemeClr val="accent5"/>
              </a:solidFill>
              <a:ln>
                <a:noFill/>
              </a:ln>
              <a:effectLst/>
            </c:spPr>
            <c:extLst>
              <c:ext xmlns:c16="http://schemas.microsoft.com/office/drawing/2014/chart" uri="{C3380CC4-5D6E-409C-BE32-E72D297353CC}">
                <c16:uniqueId val="{00000001-6229-4925-A76F-071093F9647A}"/>
              </c:ext>
            </c:extLst>
          </c:dPt>
          <c:dLbls>
            <c:dLbl>
              <c:idx val="0"/>
              <c:layout>
                <c:manualLayout>
                  <c:x val="-0.17279348881515069"/>
                  <c:y val="-0.10185185185185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29-4925-A76F-071093F9647A}"/>
                </c:ext>
              </c:extLst>
            </c:dLbl>
            <c:dLbl>
              <c:idx val="1"/>
              <c:layout>
                <c:manualLayout>
                  <c:x val="8.1055401032744459E-2"/>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29-4925-A76F-071093F9647A}"/>
                </c:ext>
              </c:extLst>
            </c:dLbl>
            <c:dLbl>
              <c:idx val="2"/>
              <c:layout>
                <c:manualLayout>
                  <c:x val="0.125"/>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29-4925-A76F-071093F9647A}"/>
                </c:ext>
              </c:extLst>
            </c:dLbl>
            <c:dLbl>
              <c:idx val="3"/>
              <c:layout>
                <c:manualLayout>
                  <c:x val="9.722222222222222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29-4925-A76F-071093F9647A}"/>
                </c:ext>
              </c:extLst>
            </c:dLbl>
            <c:dLbl>
              <c:idx val="4"/>
              <c:layout>
                <c:manualLayout>
                  <c:x val="-0.11728785713847147"/>
                  <c:y val="0.189814814814814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29-4925-A76F-071093F964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tablas_dinamicas!$A$23:$A$27</c:f>
              <c:strCache>
                <c:ptCount val="5"/>
                <c:pt idx="0">
                  <c:v>Supermercado</c:v>
                </c:pt>
                <c:pt idx="1">
                  <c:v>Transporte</c:v>
                </c:pt>
                <c:pt idx="2">
                  <c:v>Educación</c:v>
                </c:pt>
                <c:pt idx="3">
                  <c:v>Servicios</c:v>
                </c:pt>
                <c:pt idx="4">
                  <c:v>Ocio</c:v>
                </c:pt>
              </c:strCache>
            </c:strRef>
          </c:cat>
          <c:val>
            <c:numRef>
              <c:f>tablas_dinamicas!$B$23:$B$27</c:f>
              <c:numCache>
                <c:formatCode>_("$"* #,##0.00_);_("$"* \(#,##0.00\);_("$"* "-"??_);_(@_)</c:formatCode>
                <c:ptCount val="5"/>
                <c:pt idx="0">
                  <c:v>71021.84</c:v>
                </c:pt>
                <c:pt idx="1">
                  <c:v>174904</c:v>
                </c:pt>
                <c:pt idx="2">
                  <c:v>245000</c:v>
                </c:pt>
                <c:pt idx="3">
                  <c:v>1250739</c:v>
                </c:pt>
                <c:pt idx="4">
                  <c:v>2035768.64</c:v>
                </c:pt>
              </c:numCache>
            </c:numRef>
          </c:val>
          <c:extLst>
            <c:ext xmlns:c16="http://schemas.microsoft.com/office/drawing/2014/chart" uri="{C3380CC4-5D6E-409C-BE32-E72D297353CC}">
              <c16:uniqueId val="{00000000-6229-4925-A76F-071093F9647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443963254593182"/>
          <c:y val="0.17989428404782734"/>
          <c:w val="0.19167147856517935"/>
          <c:h val="0.71470180810731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2">
          <a:lumMod val="75000"/>
          <a:lumOff val="25000"/>
          <a:alpha val="60000"/>
        </a:schemeClr>
      </a:outerShdw>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266700</xdr:colOff>
      <xdr:row>5</xdr:row>
      <xdr:rowOff>85725</xdr:rowOff>
    </xdr:from>
    <xdr:to>
      <xdr:col>4</xdr:col>
      <xdr:colOff>266700</xdr:colOff>
      <xdr:row>11</xdr:row>
      <xdr:rowOff>85725</xdr:rowOff>
    </xdr:to>
    <xdr:sp macro="" textlink="">
      <xdr:nvSpPr>
        <xdr:cNvPr id="2" name="Rectangle: Rounded Corners 1">
          <a:extLst>
            <a:ext uri="{FF2B5EF4-FFF2-40B4-BE49-F238E27FC236}">
              <a16:creationId xmlns:a16="http://schemas.microsoft.com/office/drawing/2014/main" id="{506AEE35-42A7-B892-DCEF-D2C14A1347A7}"/>
            </a:ext>
          </a:extLst>
        </xdr:cNvPr>
        <xdr:cNvSpPr/>
      </xdr:nvSpPr>
      <xdr:spPr>
        <a:xfrm>
          <a:off x="266700" y="85725"/>
          <a:ext cx="2438400" cy="1143000"/>
        </a:xfrm>
        <a:prstGeom prst="roundRect">
          <a:avLst/>
        </a:prstGeom>
        <a:solidFill>
          <a:schemeClr val="bg1"/>
        </a:solidFill>
        <a:ln>
          <a:noFill/>
        </a:ln>
        <a:effectLst>
          <a:outerShdw blurRad="50800" dist="38100" dir="2700000" algn="tl" rotWithShape="0">
            <a:schemeClr val="tx2">
              <a:lumMod val="75000"/>
              <a:lumOff val="25000"/>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0</xdr:col>
      <xdr:colOff>476250</xdr:colOff>
      <xdr:row>8</xdr:row>
      <xdr:rowOff>19050</xdr:rowOff>
    </xdr:from>
    <xdr:to>
      <xdr:col>4</xdr:col>
      <xdr:colOff>57150</xdr:colOff>
      <xdr:row>10</xdr:row>
      <xdr:rowOff>114300</xdr:rowOff>
    </xdr:to>
    <xdr:sp macro="" textlink="kpis!J3">
      <xdr:nvSpPr>
        <xdr:cNvPr id="3" name="TextBox 2">
          <a:extLst>
            <a:ext uri="{FF2B5EF4-FFF2-40B4-BE49-F238E27FC236}">
              <a16:creationId xmlns:a16="http://schemas.microsoft.com/office/drawing/2014/main" id="{600FE977-321B-9A04-A1A4-0865BEF024A0}"/>
            </a:ext>
          </a:extLst>
        </xdr:cNvPr>
        <xdr:cNvSpPr txBox="1"/>
      </xdr:nvSpPr>
      <xdr:spPr>
        <a:xfrm>
          <a:off x="476250" y="590550"/>
          <a:ext cx="2019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4876C5-C8BD-4E4D-9A63-1957E969E648}" type="TxLink">
            <a:rPr lang="en-US" sz="18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 $ 3.777.433,48 </a:t>
          </a:fld>
          <a:endParaRPr lang="es-AR" sz="1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304800</xdr:colOff>
      <xdr:row>5</xdr:row>
      <xdr:rowOff>180975</xdr:rowOff>
    </xdr:from>
    <xdr:to>
      <xdr:col>4</xdr:col>
      <xdr:colOff>209549</xdr:colOff>
      <xdr:row>8</xdr:row>
      <xdr:rowOff>38100</xdr:rowOff>
    </xdr:to>
    <xdr:sp macro="" textlink="">
      <xdr:nvSpPr>
        <xdr:cNvPr id="4" name="TextBox 3">
          <a:extLst>
            <a:ext uri="{FF2B5EF4-FFF2-40B4-BE49-F238E27FC236}">
              <a16:creationId xmlns:a16="http://schemas.microsoft.com/office/drawing/2014/main" id="{49F2564C-D142-8B6D-7A41-D97A655049C5}"/>
            </a:ext>
          </a:extLst>
        </xdr:cNvPr>
        <xdr:cNvSpPr txBox="1"/>
      </xdr:nvSpPr>
      <xdr:spPr>
        <a:xfrm>
          <a:off x="304800" y="180975"/>
          <a:ext cx="2343149"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400">
              <a:latin typeface="Segoe UI" panose="020B0502040204020203" pitchFamily="34" charset="0"/>
              <a:cs typeface="Segoe UI" panose="020B0502040204020203" pitchFamily="34" charset="0"/>
            </a:rPr>
            <a:t>Gasto </a:t>
          </a:r>
          <a:r>
            <a:rPr lang="es-AR" sz="1400">
              <a:solidFill>
                <a:schemeClr val="dk1"/>
              </a:solidFill>
              <a:latin typeface="Segoe UI" panose="020B0502040204020203" pitchFamily="34" charset="0"/>
              <a:ea typeface="+mn-ea"/>
              <a:cs typeface="Segoe UI" panose="020B0502040204020203" pitchFamily="34" charset="0"/>
            </a:rPr>
            <a:t>total</a:t>
          </a:r>
          <a:r>
            <a:rPr lang="es-AR" sz="1400">
              <a:latin typeface="Segoe UI" panose="020B0502040204020203" pitchFamily="34" charset="0"/>
              <a:cs typeface="Segoe UI" panose="020B0502040204020203" pitchFamily="34" charset="0"/>
            </a:rPr>
            <a:t> anual</a:t>
          </a:r>
        </a:p>
      </xdr:txBody>
    </xdr:sp>
    <xdr:clientData/>
  </xdr:twoCellAnchor>
  <xdr:twoCellAnchor>
    <xdr:from>
      <xdr:col>5</xdr:col>
      <xdr:colOff>47625</xdr:colOff>
      <xdr:row>5</xdr:row>
      <xdr:rowOff>114300</xdr:rowOff>
    </xdr:from>
    <xdr:to>
      <xdr:col>9</xdr:col>
      <xdr:colOff>47625</xdr:colOff>
      <xdr:row>11</xdr:row>
      <xdr:rowOff>114300</xdr:rowOff>
    </xdr:to>
    <xdr:sp macro="" textlink="">
      <xdr:nvSpPr>
        <xdr:cNvPr id="5" name="Rectangle: Rounded Corners 4">
          <a:extLst>
            <a:ext uri="{FF2B5EF4-FFF2-40B4-BE49-F238E27FC236}">
              <a16:creationId xmlns:a16="http://schemas.microsoft.com/office/drawing/2014/main" id="{073326B7-A1C2-48BA-BD37-9F7BD0EC9B51}"/>
            </a:ext>
          </a:extLst>
        </xdr:cNvPr>
        <xdr:cNvSpPr/>
      </xdr:nvSpPr>
      <xdr:spPr>
        <a:xfrm>
          <a:off x="3095625" y="114300"/>
          <a:ext cx="2438400" cy="1143000"/>
        </a:xfrm>
        <a:prstGeom prst="roundRect">
          <a:avLst/>
        </a:prstGeom>
        <a:solidFill>
          <a:schemeClr val="bg1"/>
        </a:solidFill>
        <a:ln>
          <a:noFill/>
        </a:ln>
        <a:effectLst>
          <a:outerShdw blurRad="50800" dist="38100" dir="2700000" algn="tl" rotWithShape="0">
            <a:schemeClr val="tx2">
              <a:lumMod val="75000"/>
              <a:lumOff val="25000"/>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AR" sz="1100">
            <a:solidFill>
              <a:schemeClr val="lt1"/>
            </a:solidFill>
            <a:latin typeface="+mn-lt"/>
            <a:ea typeface="+mn-ea"/>
            <a:cs typeface="+mn-cs"/>
          </a:endParaRPr>
        </a:p>
      </xdr:txBody>
    </xdr:sp>
    <xdr:clientData/>
  </xdr:twoCellAnchor>
  <xdr:twoCellAnchor>
    <xdr:from>
      <xdr:col>5</xdr:col>
      <xdr:colOff>257175</xdr:colOff>
      <xdr:row>8</xdr:row>
      <xdr:rowOff>47625</xdr:rowOff>
    </xdr:from>
    <xdr:to>
      <xdr:col>8</xdr:col>
      <xdr:colOff>447675</xdr:colOff>
      <xdr:row>10</xdr:row>
      <xdr:rowOff>142875</xdr:rowOff>
    </xdr:to>
    <xdr:sp macro="" textlink="kpis!J4">
      <xdr:nvSpPr>
        <xdr:cNvPr id="6" name="TextBox 5">
          <a:extLst>
            <a:ext uri="{FF2B5EF4-FFF2-40B4-BE49-F238E27FC236}">
              <a16:creationId xmlns:a16="http://schemas.microsoft.com/office/drawing/2014/main" id="{27EF1C3B-9B8B-453D-9C3D-077D26DB8E27}"/>
            </a:ext>
          </a:extLst>
        </xdr:cNvPr>
        <xdr:cNvSpPr txBox="1"/>
      </xdr:nvSpPr>
      <xdr:spPr>
        <a:xfrm>
          <a:off x="3305175" y="619125"/>
          <a:ext cx="2019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0D2390-B085-4A35-98CB-AB5FEAA37D73}" type="TxLink">
            <a:rPr lang="en-US" sz="18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31%</a:t>
          </a:fld>
          <a:endParaRPr lang="es-AR" sz="1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5</xdr:col>
      <xdr:colOff>85725</xdr:colOff>
      <xdr:row>6</xdr:row>
      <xdr:rowOff>19050</xdr:rowOff>
    </xdr:from>
    <xdr:to>
      <xdr:col>8</xdr:col>
      <xdr:colOff>600074</xdr:colOff>
      <xdr:row>8</xdr:row>
      <xdr:rowOff>66675</xdr:rowOff>
    </xdr:to>
    <xdr:sp macro="" textlink="">
      <xdr:nvSpPr>
        <xdr:cNvPr id="7" name="TextBox 6">
          <a:extLst>
            <a:ext uri="{FF2B5EF4-FFF2-40B4-BE49-F238E27FC236}">
              <a16:creationId xmlns:a16="http://schemas.microsoft.com/office/drawing/2014/main" id="{904BB8F3-8FC0-4D7D-B5D9-76F97FDE0FC8}"/>
            </a:ext>
          </a:extLst>
        </xdr:cNvPr>
        <xdr:cNvSpPr txBox="1"/>
      </xdr:nvSpPr>
      <xdr:spPr>
        <a:xfrm>
          <a:off x="3133725" y="209550"/>
          <a:ext cx="234314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400">
              <a:latin typeface="Segoe UI" panose="020B0502040204020203" pitchFamily="34" charset="0"/>
              <a:cs typeface="Segoe UI" panose="020B0502040204020203" pitchFamily="34" charset="0"/>
            </a:rPr>
            <a:t>% de gasto en cuotas</a:t>
          </a:r>
        </a:p>
      </xdr:txBody>
    </xdr:sp>
    <xdr:clientData/>
  </xdr:twoCellAnchor>
  <xdr:twoCellAnchor>
    <xdr:from>
      <xdr:col>5</xdr:col>
      <xdr:colOff>28575</xdr:colOff>
      <xdr:row>12</xdr:row>
      <xdr:rowOff>47625</xdr:rowOff>
    </xdr:from>
    <xdr:to>
      <xdr:col>9</xdr:col>
      <xdr:colOff>28575</xdr:colOff>
      <xdr:row>18</xdr:row>
      <xdr:rowOff>47625</xdr:rowOff>
    </xdr:to>
    <xdr:sp macro="" textlink="">
      <xdr:nvSpPr>
        <xdr:cNvPr id="8" name="Rectangle: Rounded Corners 7">
          <a:extLst>
            <a:ext uri="{FF2B5EF4-FFF2-40B4-BE49-F238E27FC236}">
              <a16:creationId xmlns:a16="http://schemas.microsoft.com/office/drawing/2014/main" id="{4CDB1DAD-160F-4F04-9FDF-0B124F5C4B11}"/>
            </a:ext>
          </a:extLst>
        </xdr:cNvPr>
        <xdr:cNvSpPr/>
      </xdr:nvSpPr>
      <xdr:spPr>
        <a:xfrm>
          <a:off x="3076575" y="1381125"/>
          <a:ext cx="2438400" cy="1143000"/>
        </a:xfrm>
        <a:prstGeom prst="roundRect">
          <a:avLst/>
        </a:prstGeom>
        <a:solidFill>
          <a:schemeClr val="bg1"/>
        </a:solidFill>
        <a:ln>
          <a:noFill/>
        </a:ln>
        <a:effectLst>
          <a:outerShdw blurRad="50800" dist="38100" dir="2700000" algn="tl" rotWithShape="0">
            <a:schemeClr val="tx2">
              <a:lumMod val="75000"/>
              <a:lumOff val="25000"/>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AR" sz="1100">
            <a:solidFill>
              <a:schemeClr val="lt1"/>
            </a:solidFill>
            <a:latin typeface="+mn-lt"/>
            <a:ea typeface="+mn-ea"/>
            <a:cs typeface="+mn-cs"/>
          </a:endParaRPr>
        </a:p>
      </xdr:txBody>
    </xdr:sp>
    <xdr:clientData/>
  </xdr:twoCellAnchor>
  <xdr:twoCellAnchor>
    <xdr:from>
      <xdr:col>5</xdr:col>
      <xdr:colOff>238125</xdr:colOff>
      <xdr:row>14</xdr:row>
      <xdr:rowOff>171450</xdr:rowOff>
    </xdr:from>
    <xdr:to>
      <xdr:col>8</xdr:col>
      <xdr:colOff>428625</xdr:colOff>
      <xdr:row>17</xdr:row>
      <xdr:rowOff>76200</xdr:rowOff>
    </xdr:to>
    <xdr:sp macro="" textlink="kpis!J6">
      <xdr:nvSpPr>
        <xdr:cNvPr id="9" name="TextBox 8">
          <a:extLst>
            <a:ext uri="{FF2B5EF4-FFF2-40B4-BE49-F238E27FC236}">
              <a16:creationId xmlns:a16="http://schemas.microsoft.com/office/drawing/2014/main" id="{9C512ABC-9F58-45DE-BBA4-81B54983C43F}"/>
            </a:ext>
          </a:extLst>
        </xdr:cNvPr>
        <xdr:cNvSpPr txBox="1"/>
      </xdr:nvSpPr>
      <xdr:spPr>
        <a:xfrm>
          <a:off x="3286125" y="1885950"/>
          <a:ext cx="2019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9E5553-768E-41A1-8FDD-52B1DBE21261}" type="TxLink">
            <a:rPr lang="en-US" sz="18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Septiembre</a:t>
          </a:fld>
          <a:endParaRPr lang="es-AR" sz="1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5</xdr:col>
      <xdr:colOff>66675</xdr:colOff>
      <xdr:row>12</xdr:row>
      <xdr:rowOff>142875</xdr:rowOff>
    </xdr:from>
    <xdr:to>
      <xdr:col>8</xdr:col>
      <xdr:colOff>581024</xdr:colOff>
      <xdr:row>15</xdr:row>
      <xdr:rowOff>0</xdr:rowOff>
    </xdr:to>
    <xdr:sp macro="" textlink="">
      <xdr:nvSpPr>
        <xdr:cNvPr id="10" name="TextBox 9">
          <a:extLst>
            <a:ext uri="{FF2B5EF4-FFF2-40B4-BE49-F238E27FC236}">
              <a16:creationId xmlns:a16="http://schemas.microsoft.com/office/drawing/2014/main" id="{DDA7D388-9366-4B7F-BEF2-F3C0B580FD3C}"/>
            </a:ext>
          </a:extLst>
        </xdr:cNvPr>
        <xdr:cNvSpPr txBox="1"/>
      </xdr:nvSpPr>
      <xdr:spPr>
        <a:xfrm>
          <a:off x="3114675" y="1476375"/>
          <a:ext cx="234314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400">
              <a:latin typeface="Segoe UI" panose="020B0502040204020203" pitchFamily="34" charset="0"/>
              <a:cs typeface="Segoe UI" panose="020B0502040204020203" pitchFamily="34" charset="0"/>
            </a:rPr>
            <a:t>Mes con mayor gasto</a:t>
          </a:r>
        </a:p>
      </xdr:txBody>
    </xdr:sp>
    <xdr:clientData/>
  </xdr:twoCellAnchor>
  <xdr:twoCellAnchor>
    <xdr:from>
      <xdr:col>0</xdr:col>
      <xdr:colOff>266700</xdr:colOff>
      <xdr:row>12</xdr:row>
      <xdr:rowOff>57150</xdr:rowOff>
    </xdr:from>
    <xdr:to>
      <xdr:col>4</xdr:col>
      <xdr:colOff>266700</xdr:colOff>
      <xdr:row>18</xdr:row>
      <xdr:rowOff>57150</xdr:rowOff>
    </xdr:to>
    <xdr:sp macro="" textlink="">
      <xdr:nvSpPr>
        <xdr:cNvPr id="11" name="Rectangle: Rounded Corners 10">
          <a:extLst>
            <a:ext uri="{FF2B5EF4-FFF2-40B4-BE49-F238E27FC236}">
              <a16:creationId xmlns:a16="http://schemas.microsoft.com/office/drawing/2014/main" id="{A447EFFC-3DDA-4B55-9D64-DAA4FB7C9F51}"/>
            </a:ext>
          </a:extLst>
        </xdr:cNvPr>
        <xdr:cNvSpPr/>
      </xdr:nvSpPr>
      <xdr:spPr>
        <a:xfrm>
          <a:off x="266700" y="1390650"/>
          <a:ext cx="2438400" cy="1143000"/>
        </a:xfrm>
        <a:prstGeom prst="roundRect">
          <a:avLst/>
        </a:prstGeom>
        <a:solidFill>
          <a:schemeClr val="bg1"/>
        </a:solidFill>
        <a:ln>
          <a:noFill/>
        </a:ln>
        <a:effectLst>
          <a:outerShdw blurRad="50800" dist="38100" dir="2700000" algn="tl" rotWithShape="0">
            <a:schemeClr val="tx2">
              <a:lumMod val="75000"/>
              <a:lumOff val="25000"/>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AR" sz="1100">
            <a:solidFill>
              <a:schemeClr val="lt1"/>
            </a:solidFill>
            <a:latin typeface="+mn-lt"/>
            <a:ea typeface="+mn-ea"/>
            <a:cs typeface="+mn-cs"/>
          </a:endParaRPr>
        </a:p>
      </xdr:txBody>
    </xdr:sp>
    <xdr:clientData/>
  </xdr:twoCellAnchor>
  <xdr:twoCellAnchor>
    <xdr:from>
      <xdr:col>0</xdr:col>
      <xdr:colOff>476250</xdr:colOff>
      <xdr:row>14</xdr:row>
      <xdr:rowOff>180975</xdr:rowOff>
    </xdr:from>
    <xdr:to>
      <xdr:col>4</xdr:col>
      <xdr:colOff>57150</xdr:colOff>
      <xdr:row>17</xdr:row>
      <xdr:rowOff>85725</xdr:rowOff>
    </xdr:to>
    <xdr:sp macro="" textlink="kpis!J5">
      <xdr:nvSpPr>
        <xdr:cNvPr id="12" name="TextBox 11">
          <a:extLst>
            <a:ext uri="{FF2B5EF4-FFF2-40B4-BE49-F238E27FC236}">
              <a16:creationId xmlns:a16="http://schemas.microsoft.com/office/drawing/2014/main" id="{976493A7-8A61-4EE3-9185-98D7885CF9C6}"/>
            </a:ext>
          </a:extLst>
        </xdr:cNvPr>
        <xdr:cNvSpPr txBox="1"/>
      </xdr:nvSpPr>
      <xdr:spPr>
        <a:xfrm>
          <a:off x="476250" y="1895475"/>
          <a:ext cx="2019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1AA3AE-9D52-4506-861E-90213E7E3159}" type="TxLink">
            <a:rPr lang="en-US" sz="18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 $ 314.786,12 </a:t>
          </a:fld>
          <a:endParaRPr lang="es-AR" sz="1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304800</xdr:colOff>
      <xdr:row>12</xdr:row>
      <xdr:rowOff>152400</xdr:rowOff>
    </xdr:from>
    <xdr:to>
      <xdr:col>4</xdr:col>
      <xdr:colOff>209549</xdr:colOff>
      <xdr:row>15</xdr:row>
      <xdr:rowOff>9525</xdr:rowOff>
    </xdr:to>
    <xdr:sp macro="" textlink="">
      <xdr:nvSpPr>
        <xdr:cNvPr id="13" name="TextBox 12">
          <a:extLst>
            <a:ext uri="{FF2B5EF4-FFF2-40B4-BE49-F238E27FC236}">
              <a16:creationId xmlns:a16="http://schemas.microsoft.com/office/drawing/2014/main" id="{52C1CCDD-07AC-4A35-8BA3-8647EAAA06A2}"/>
            </a:ext>
          </a:extLst>
        </xdr:cNvPr>
        <xdr:cNvSpPr txBox="1"/>
      </xdr:nvSpPr>
      <xdr:spPr>
        <a:xfrm>
          <a:off x="304800" y="1485900"/>
          <a:ext cx="234314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400">
              <a:latin typeface="Segoe UI" panose="020B0502040204020203" pitchFamily="34" charset="0"/>
              <a:cs typeface="Segoe UI" panose="020B0502040204020203" pitchFamily="34" charset="0"/>
            </a:rPr>
            <a:t>Gasto promedio mensual</a:t>
          </a:r>
        </a:p>
      </xdr:txBody>
    </xdr:sp>
    <xdr:clientData/>
  </xdr:twoCellAnchor>
  <xdr:twoCellAnchor>
    <xdr:from>
      <xdr:col>10</xdr:col>
      <xdr:colOff>523875</xdr:colOff>
      <xdr:row>5</xdr:row>
      <xdr:rowOff>142874</xdr:rowOff>
    </xdr:from>
    <xdr:to>
      <xdr:col>14</xdr:col>
      <xdr:colOff>228600</xdr:colOff>
      <xdr:row>11</xdr:row>
      <xdr:rowOff>95249</xdr:rowOff>
    </xdr:to>
    <xdr:sp macro="" textlink="">
      <xdr:nvSpPr>
        <xdr:cNvPr id="14" name="Rectangle: Rounded Corners 13">
          <a:extLst>
            <a:ext uri="{FF2B5EF4-FFF2-40B4-BE49-F238E27FC236}">
              <a16:creationId xmlns:a16="http://schemas.microsoft.com/office/drawing/2014/main" id="{73F8617F-2A47-49A1-8E00-CA5C230F3A7E}"/>
            </a:ext>
          </a:extLst>
        </xdr:cNvPr>
        <xdr:cNvSpPr/>
      </xdr:nvSpPr>
      <xdr:spPr>
        <a:xfrm>
          <a:off x="6619875" y="142874"/>
          <a:ext cx="2143125" cy="1095375"/>
        </a:xfrm>
        <a:prstGeom prst="roundRect">
          <a:avLst/>
        </a:prstGeom>
        <a:solidFill>
          <a:schemeClr val="bg1"/>
        </a:solidFill>
        <a:ln>
          <a:noFill/>
        </a:ln>
        <a:effectLst>
          <a:outerShdw blurRad="50800" dist="38100" dir="2700000" algn="tl" rotWithShape="0">
            <a:schemeClr val="tx2">
              <a:lumMod val="75000"/>
              <a:lumOff val="25000"/>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AR" sz="1100">
            <a:solidFill>
              <a:schemeClr val="lt1"/>
            </a:solidFill>
            <a:latin typeface="+mn-lt"/>
            <a:ea typeface="+mn-ea"/>
            <a:cs typeface="+mn-cs"/>
          </a:endParaRPr>
        </a:p>
      </xdr:txBody>
    </xdr:sp>
    <xdr:clientData/>
  </xdr:twoCellAnchor>
  <xdr:twoCellAnchor>
    <xdr:from>
      <xdr:col>10</xdr:col>
      <xdr:colOff>600075</xdr:colOff>
      <xdr:row>8</xdr:row>
      <xdr:rowOff>171450</xdr:rowOff>
    </xdr:from>
    <xdr:to>
      <xdr:col>14</xdr:col>
      <xdr:colOff>161925</xdr:colOff>
      <xdr:row>10</xdr:row>
      <xdr:rowOff>147638</xdr:rowOff>
    </xdr:to>
    <xdr:sp macro="" textlink="kpis!J7">
      <xdr:nvSpPr>
        <xdr:cNvPr id="15" name="TextBox 14">
          <a:extLst>
            <a:ext uri="{FF2B5EF4-FFF2-40B4-BE49-F238E27FC236}">
              <a16:creationId xmlns:a16="http://schemas.microsoft.com/office/drawing/2014/main" id="{0EEBDF55-4762-4F3C-8FF5-DEBA22433E43}"/>
            </a:ext>
          </a:extLst>
        </xdr:cNvPr>
        <xdr:cNvSpPr txBox="1"/>
      </xdr:nvSpPr>
      <xdr:spPr>
        <a:xfrm>
          <a:off x="6696075" y="1695450"/>
          <a:ext cx="200025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BBB3B4-3F06-40EB-89CB-85086622F7D8}" type="TxLink">
            <a:rPr lang="en-US" sz="1600" b="1" i="0" u="none" strike="noStrike">
              <a:solidFill>
                <a:srgbClr val="000000"/>
              </a:solidFill>
              <a:latin typeface="Aptos Narrow"/>
              <a:ea typeface="+mn-ea"/>
              <a:cs typeface="Segoe UI Semibold" panose="020B0702040204020203" pitchFamily="34" charset="0"/>
            </a:rPr>
            <a:pPr marL="0" indent="0" algn="ctr"/>
            <a:t>Octubre</a:t>
          </a:fld>
          <a:endParaRPr lang="es-AR" sz="1800" b="1"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571499</xdr:colOff>
      <xdr:row>6</xdr:row>
      <xdr:rowOff>57150</xdr:rowOff>
    </xdr:from>
    <xdr:to>
      <xdr:col>14</xdr:col>
      <xdr:colOff>171450</xdr:colOff>
      <xdr:row>9</xdr:row>
      <xdr:rowOff>76199</xdr:rowOff>
    </xdr:to>
    <xdr:sp macro="" textlink="">
      <xdr:nvSpPr>
        <xdr:cNvPr id="16" name="TextBox 15">
          <a:extLst>
            <a:ext uri="{FF2B5EF4-FFF2-40B4-BE49-F238E27FC236}">
              <a16:creationId xmlns:a16="http://schemas.microsoft.com/office/drawing/2014/main" id="{A05BDF5B-C9EC-425C-B066-192E3F1E8B40}"/>
            </a:ext>
          </a:extLst>
        </xdr:cNvPr>
        <xdr:cNvSpPr txBox="1"/>
      </xdr:nvSpPr>
      <xdr:spPr>
        <a:xfrm>
          <a:off x="6667499" y="247650"/>
          <a:ext cx="2038351"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100">
              <a:latin typeface="Segoe UI" panose="020B0502040204020203" pitchFamily="34" charset="0"/>
              <a:cs typeface="Segoe UI" panose="020B0502040204020203" pitchFamily="34" charset="0"/>
            </a:rPr>
            <a:t>Mes con mayor %</a:t>
          </a:r>
          <a:r>
            <a:rPr lang="es-AR" sz="1100" baseline="0">
              <a:latin typeface="Segoe UI" panose="020B0502040204020203" pitchFamily="34" charset="0"/>
              <a:cs typeface="Segoe UI" panose="020B0502040204020203" pitchFamily="34" charset="0"/>
            </a:rPr>
            <a:t> de gasto en cuotas</a:t>
          </a:r>
          <a:endParaRPr lang="es-AR" sz="1100">
            <a:latin typeface="Segoe UI" panose="020B0502040204020203" pitchFamily="34" charset="0"/>
            <a:cs typeface="Segoe UI" panose="020B0502040204020203" pitchFamily="34" charset="0"/>
          </a:endParaRPr>
        </a:p>
      </xdr:txBody>
    </xdr:sp>
    <xdr:clientData/>
  </xdr:twoCellAnchor>
  <xdr:twoCellAnchor>
    <xdr:from>
      <xdr:col>14</xdr:col>
      <xdr:colOff>352425</xdr:colOff>
      <xdr:row>5</xdr:row>
      <xdr:rowOff>142874</xdr:rowOff>
    </xdr:from>
    <xdr:to>
      <xdr:col>18</xdr:col>
      <xdr:colOff>57150</xdr:colOff>
      <xdr:row>11</xdr:row>
      <xdr:rowOff>95249</xdr:rowOff>
    </xdr:to>
    <xdr:sp macro="" textlink="">
      <xdr:nvSpPr>
        <xdr:cNvPr id="29" name="Rectangle: Rounded Corners 28">
          <a:extLst>
            <a:ext uri="{FF2B5EF4-FFF2-40B4-BE49-F238E27FC236}">
              <a16:creationId xmlns:a16="http://schemas.microsoft.com/office/drawing/2014/main" id="{503DD61D-871F-4B93-9D95-1AED168CBA57}"/>
            </a:ext>
          </a:extLst>
        </xdr:cNvPr>
        <xdr:cNvSpPr/>
      </xdr:nvSpPr>
      <xdr:spPr>
        <a:xfrm>
          <a:off x="8886825" y="142874"/>
          <a:ext cx="2143125" cy="1095375"/>
        </a:xfrm>
        <a:prstGeom prst="roundRect">
          <a:avLst/>
        </a:prstGeom>
        <a:solidFill>
          <a:schemeClr val="bg1"/>
        </a:solidFill>
        <a:ln>
          <a:noFill/>
        </a:ln>
        <a:effectLst>
          <a:outerShdw blurRad="50800" dist="38100" dir="2700000" algn="tl" rotWithShape="0">
            <a:schemeClr val="tx2">
              <a:lumMod val="75000"/>
              <a:lumOff val="25000"/>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AR" sz="1100">
            <a:solidFill>
              <a:schemeClr val="lt1"/>
            </a:solidFill>
            <a:latin typeface="+mn-lt"/>
            <a:ea typeface="+mn-ea"/>
            <a:cs typeface="+mn-cs"/>
          </a:endParaRPr>
        </a:p>
      </xdr:txBody>
    </xdr:sp>
    <xdr:clientData/>
  </xdr:twoCellAnchor>
  <xdr:twoCellAnchor>
    <xdr:from>
      <xdr:col>14</xdr:col>
      <xdr:colOff>428625</xdr:colOff>
      <xdr:row>8</xdr:row>
      <xdr:rowOff>171450</xdr:rowOff>
    </xdr:from>
    <xdr:to>
      <xdr:col>17</xdr:col>
      <xdr:colOff>600075</xdr:colOff>
      <xdr:row>10</xdr:row>
      <xdr:rowOff>147638</xdr:rowOff>
    </xdr:to>
    <xdr:sp macro="" textlink="kpis!J8">
      <xdr:nvSpPr>
        <xdr:cNvPr id="30" name="TextBox 29">
          <a:extLst>
            <a:ext uri="{FF2B5EF4-FFF2-40B4-BE49-F238E27FC236}">
              <a16:creationId xmlns:a16="http://schemas.microsoft.com/office/drawing/2014/main" id="{158FA5EE-C0D1-44C4-A03F-9ADA05670DCE}"/>
            </a:ext>
          </a:extLst>
        </xdr:cNvPr>
        <xdr:cNvSpPr txBox="1"/>
      </xdr:nvSpPr>
      <xdr:spPr>
        <a:xfrm>
          <a:off x="8963025" y="1695450"/>
          <a:ext cx="200025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965023-7B71-4DE4-961E-8DB7FF80CB6C}" type="TxLink">
            <a:rPr lang="en-US" sz="1600" b="1" i="0" u="none" strike="noStrike">
              <a:solidFill>
                <a:srgbClr val="000000"/>
              </a:solidFill>
              <a:latin typeface="Aptos Narrow"/>
              <a:ea typeface="+mn-ea"/>
              <a:cs typeface="Segoe UI Semibold" panose="020B0702040204020203" pitchFamily="34" charset="0"/>
            </a:rPr>
            <a:pPr marL="0" indent="0" algn="ctr"/>
            <a:t>Ocio</a:t>
          </a:fld>
          <a:endParaRPr lang="es-AR" sz="1600" b="1" i="0" u="none" strike="noStrike">
            <a:solidFill>
              <a:srgbClr val="000000"/>
            </a:solidFill>
            <a:latin typeface="Aptos Narrow"/>
            <a:ea typeface="+mn-ea"/>
            <a:cs typeface="Segoe UI Semibold" panose="020B0702040204020203" pitchFamily="34" charset="0"/>
          </a:endParaRPr>
        </a:p>
      </xdr:txBody>
    </xdr:sp>
    <xdr:clientData/>
  </xdr:twoCellAnchor>
  <xdr:twoCellAnchor>
    <xdr:from>
      <xdr:col>14</xdr:col>
      <xdr:colOff>400049</xdr:colOff>
      <xdr:row>6</xdr:row>
      <xdr:rowOff>57150</xdr:rowOff>
    </xdr:from>
    <xdr:to>
      <xdr:col>18</xdr:col>
      <xdr:colOff>0</xdr:colOff>
      <xdr:row>9</xdr:row>
      <xdr:rowOff>76199</xdr:rowOff>
    </xdr:to>
    <xdr:sp macro="" textlink="">
      <xdr:nvSpPr>
        <xdr:cNvPr id="31" name="TextBox 30">
          <a:extLst>
            <a:ext uri="{FF2B5EF4-FFF2-40B4-BE49-F238E27FC236}">
              <a16:creationId xmlns:a16="http://schemas.microsoft.com/office/drawing/2014/main" id="{FEC9977D-CAF4-4377-9511-8BACAC2A7AA5}"/>
            </a:ext>
          </a:extLst>
        </xdr:cNvPr>
        <xdr:cNvSpPr txBox="1"/>
      </xdr:nvSpPr>
      <xdr:spPr>
        <a:xfrm>
          <a:off x="8934449" y="247650"/>
          <a:ext cx="2038351"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100">
              <a:latin typeface="Segoe UI" panose="020B0502040204020203" pitchFamily="34" charset="0"/>
              <a:cs typeface="Segoe UI" panose="020B0502040204020203" pitchFamily="34" charset="0"/>
            </a:rPr>
            <a:t>Categoría</a:t>
          </a:r>
          <a:r>
            <a:rPr lang="es-AR" sz="1100" baseline="0">
              <a:latin typeface="Segoe UI" panose="020B0502040204020203" pitchFamily="34" charset="0"/>
              <a:cs typeface="Segoe UI" panose="020B0502040204020203" pitchFamily="34" charset="0"/>
            </a:rPr>
            <a:t> con mayor gasto</a:t>
          </a:r>
          <a:endParaRPr lang="es-AR" sz="1100">
            <a:latin typeface="Segoe UI" panose="020B0502040204020203" pitchFamily="34" charset="0"/>
            <a:cs typeface="Segoe UI" panose="020B0502040204020203" pitchFamily="34" charset="0"/>
          </a:endParaRPr>
        </a:p>
      </xdr:txBody>
    </xdr:sp>
    <xdr:clientData/>
  </xdr:twoCellAnchor>
  <xdr:twoCellAnchor>
    <xdr:from>
      <xdr:col>10</xdr:col>
      <xdr:colOff>523875</xdr:colOff>
      <xdr:row>12</xdr:row>
      <xdr:rowOff>9524</xdr:rowOff>
    </xdr:from>
    <xdr:to>
      <xdr:col>14</xdr:col>
      <xdr:colOff>228600</xdr:colOff>
      <xdr:row>17</xdr:row>
      <xdr:rowOff>152399</xdr:rowOff>
    </xdr:to>
    <xdr:sp macro="" textlink="">
      <xdr:nvSpPr>
        <xdr:cNvPr id="32" name="Rectangle: Rounded Corners 31">
          <a:extLst>
            <a:ext uri="{FF2B5EF4-FFF2-40B4-BE49-F238E27FC236}">
              <a16:creationId xmlns:a16="http://schemas.microsoft.com/office/drawing/2014/main" id="{472C4C38-C36E-4A0A-8575-E1D2639BD8CD}"/>
            </a:ext>
          </a:extLst>
        </xdr:cNvPr>
        <xdr:cNvSpPr/>
      </xdr:nvSpPr>
      <xdr:spPr>
        <a:xfrm>
          <a:off x="6619875" y="1343024"/>
          <a:ext cx="2143125" cy="1095375"/>
        </a:xfrm>
        <a:prstGeom prst="roundRect">
          <a:avLst/>
        </a:prstGeom>
        <a:solidFill>
          <a:schemeClr val="bg1"/>
        </a:solidFill>
        <a:ln>
          <a:noFill/>
        </a:ln>
        <a:effectLst>
          <a:outerShdw blurRad="50800" dist="38100" dir="2700000" algn="tl" rotWithShape="0">
            <a:schemeClr val="tx2">
              <a:lumMod val="75000"/>
              <a:lumOff val="25000"/>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AR" sz="1100">
            <a:solidFill>
              <a:schemeClr val="lt1"/>
            </a:solidFill>
            <a:latin typeface="+mn-lt"/>
            <a:ea typeface="+mn-ea"/>
            <a:cs typeface="+mn-cs"/>
          </a:endParaRPr>
        </a:p>
      </xdr:txBody>
    </xdr:sp>
    <xdr:clientData/>
  </xdr:twoCellAnchor>
  <xdr:twoCellAnchor>
    <xdr:from>
      <xdr:col>10</xdr:col>
      <xdr:colOff>600075</xdr:colOff>
      <xdr:row>15</xdr:row>
      <xdr:rowOff>38100</xdr:rowOff>
    </xdr:from>
    <xdr:to>
      <xdr:col>14</xdr:col>
      <xdr:colOff>161925</xdr:colOff>
      <xdr:row>17</xdr:row>
      <xdr:rowOff>14288</xdr:rowOff>
    </xdr:to>
    <xdr:sp macro="" textlink="kpis!J9">
      <xdr:nvSpPr>
        <xdr:cNvPr id="33" name="TextBox 32">
          <a:extLst>
            <a:ext uri="{FF2B5EF4-FFF2-40B4-BE49-F238E27FC236}">
              <a16:creationId xmlns:a16="http://schemas.microsoft.com/office/drawing/2014/main" id="{57292925-60F1-424D-B602-62602B03DE23}"/>
            </a:ext>
          </a:extLst>
        </xdr:cNvPr>
        <xdr:cNvSpPr txBox="1"/>
      </xdr:nvSpPr>
      <xdr:spPr>
        <a:xfrm>
          <a:off x="6696075" y="2895600"/>
          <a:ext cx="200025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56D661-DED1-44A5-90EA-CD211FF0C928}" type="TxLink">
            <a:rPr lang="en-US" sz="1600" b="1" i="0" u="none" strike="noStrike">
              <a:solidFill>
                <a:srgbClr val="000000"/>
              </a:solidFill>
              <a:latin typeface="Aptos Narrow"/>
              <a:ea typeface="+mn-ea"/>
              <a:cs typeface="Segoe UI Semibold" panose="020B0702040204020203" pitchFamily="34" charset="0"/>
            </a:rPr>
            <a:pPr marL="0" indent="0" algn="ctr"/>
            <a:t> $ 1.166.107,64 </a:t>
          </a:fld>
          <a:endParaRPr lang="es-AR" sz="1600" b="1" i="0" u="none" strike="noStrike">
            <a:solidFill>
              <a:srgbClr val="000000"/>
            </a:solidFill>
            <a:latin typeface="Aptos Narrow"/>
            <a:ea typeface="+mn-ea"/>
            <a:cs typeface="Segoe UI Semibold" panose="020B0702040204020203" pitchFamily="34" charset="0"/>
          </a:endParaRPr>
        </a:p>
      </xdr:txBody>
    </xdr:sp>
    <xdr:clientData/>
  </xdr:twoCellAnchor>
  <xdr:twoCellAnchor>
    <xdr:from>
      <xdr:col>10</xdr:col>
      <xdr:colOff>571499</xdr:colOff>
      <xdr:row>12</xdr:row>
      <xdr:rowOff>114300</xdr:rowOff>
    </xdr:from>
    <xdr:to>
      <xdr:col>14</xdr:col>
      <xdr:colOff>171450</xdr:colOff>
      <xdr:row>15</xdr:row>
      <xdr:rowOff>133349</xdr:rowOff>
    </xdr:to>
    <xdr:sp macro="" textlink="">
      <xdr:nvSpPr>
        <xdr:cNvPr id="34" name="TextBox 33">
          <a:extLst>
            <a:ext uri="{FF2B5EF4-FFF2-40B4-BE49-F238E27FC236}">
              <a16:creationId xmlns:a16="http://schemas.microsoft.com/office/drawing/2014/main" id="{BFE20B65-778C-4528-8599-2B3560432282}"/>
            </a:ext>
          </a:extLst>
        </xdr:cNvPr>
        <xdr:cNvSpPr txBox="1"/>
      </xdr:nvSpPr>
      <xdr:spPr>
        <a:xfrm>
          <a:off x="6667499" y="1447800"/>
          <a:ext cx="2038351"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100">
              <a:latin typeface="Segoe UI" panose="020B0502040204020203" pitchFamily="34" charset="0"/>
              <a:cs typeface="Segoe UI" panose="020B0502040204020203" pitchFamily="34" charset="0"/>
            </a:rPr>
            <a:t>Gasto total en cuotas</a:t>
          </a:r>
        </a:p>
      </xdr:txBody>
    </xdr:sp>
    <xdr:clientData/>
  </xdr:twoCellAnchor>
  <xdr:twoCellAnchor>
    <xdr:from>
      <xdr:col>0</xdr:col>
      <xdr:colOff>495300</xdr:colOff>
      <xdr:row>20</xdr:row>
      <xdr:rowOff>104775</xdr:rowOff>
    </xdr:from>
    <xdr:to>
      <xdr:col>8</xdr:col>
      <xdr:colOff>161926</xdr:colOff>
      <xdr:row>34</xdr:row>
      <xdr:rowOff>180975</xdr:rowOff>
    </xdr:to>
    <xdr:graphicFrame macro="">
      <xdr:nvGraphicFramePr>
        <xdr:cNvPr id="35" name="Chart 34">
          <a:extLst>
            <a:ext uri="{FF2B5EF4-FFF2-40B4-BE49-F238E27FC236}">
              <a16:creationId xmlns:a16="http://schemas.microsoft.com/office/drawing/2014/main" id="{EA0404CD-A73F-4060-86A7-78D811F8A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459921</xdr:colOff>
      <xdr:row>35</xdr:row>
      <xdr:rowOff>178254</xdr:rowOff>
    </xdr:from>
    <xdr:to>
      <xdr:col>8</xdr:col>
      <xdr:colOff>149679</xdr:colOff>
      <xdr:row>50</xdr:row>
      <xdr:rowOff>54429</xdr:rowOff>
    </xdr:to>
    <xdr:graphicFrame macro="">
      <xdr:nvGraphicFramePr>
        <xdr:cNvPr id="36" name="Chart 35">
          <a:extLst>
            <a:ext uri="{FF2B5EF4-FFF2-40B4-BE49-F238E27FC236}">
              <a16:creationId xmlns:a16="http://schemas.microsoft.com/office/drawing/2014/main" id="{1A383FDB-769C-4165-AB29-6C4679D16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413658</xdr:colOff>
      <xdr:row>36</xdr:row>
      <xdr:rowOff>29937</xdr:rowOff>
    </xdr:from>
    <xdr:to>
      <xdr:col>16</xdr:col>
      <xdr:colOff>108857</xdr:colOff>
      <xdr:row>50</xdr:row>
      <xdr:rowOff>106137</xdr:rowOff>
    </xdr:to>
    <xdr:graphicFrame macro="">
      <xdr:nvGraphicFramePr>
        <xdr:cNvPr id="37" name="Chart 36">
          <a:extLst>
            <a:ext uri="{FF2B5EF4-FFF2-40B4-BE49-F238E27FC236}">
              <a16:creationId xmlns:a16="http://schemas.microsoft.com/office/drawing/2014/main" id="{EF27CC7A-BD9B-4ACB-83BD-396461468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386444</xdr:colOff>
      <xdr:row>21</xdr:row>
      <xdr:rowOff>46265</xdr:rowOff>
    </xdr:from>
    <xdr:to>
      <xdr:col>11</xdr:col>
      <xdr:colOff>386443</xdr:colOff>
      <xdr:row>31</xdr:row>
      <xdr:rowOff>36740</xdr:rowOff>
    </xdr:to>
    <mc:AlternateContent xmlns:mc="http://schemas.openxmlformats.org/markup-compatibility/2006" xmlns:a14="http://schemas.microsoft.com/office/drawing/2010/main">
      <mc:Choice Requires="a14">
        <xdr:graphicFrame macro="">
          <xdr:nvGraphicFramePr>
            <xdr:cNvPr id="17" name="Categoría">
              <a:extLst>
                <a:ext uri="{FF2B5EF4-FFF2-40B4-BE49-F238E27FC236}">
                  <a16:creationId xmlns:a16="http://schemas.microsoft.com/office/drawing/2014/main" id="{A2B121A2-5EE9-4B62-87A6-3AD5A31EF38C}"/>
                </a:ext>
              </a:extLst>
            </xdr:cNvPr>
            <xdr:cNvGraphicFramePr/>
          </xdr:nvGraphicFramePr>
          <xdr:xfrm>
            <a:off x="0" y="0"/>
            <a:ext cx="0" cy="0"/>
          </xdr:xfrm>
          <a:graphic>
            <a:graphicData uri="http://schemas.microsoft.com/office/drawing/2010/slicer">
              <sle:slicer xmlns:sle="http://schemas.microsoft.com/office/drawing/2010/slicer" name="Categoría"/>
            </a:graphicData>
          </a:graphic>
        </xdr:graphicFrame>
      </mc:Choice>
      <mc:Fallback xmlns="">
        <xdr:sp macro="" textlink="">
          <xdr:nvSpPr>
            <xdr:cNvPr id="0" name=""/>
            <xdr:cNvSpPr>
              <a:spLocks noTextEdit="1"/>
            </xdr:cNvSpPr>
          </xdr:nvSpPr>
          <xdr:spPr>
            <a:xfrm>
              <a:off x="5263244" y="4046765"/>
              <a:ext cx="1828799" cy="1895475"/>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581025</xdr:colOff>
      <xdr:row>21</xdr:row>
      <xdr:rowOff>46263</xdr:rowOff>
    </xdr:from>
    <xdr:to>
      <xdr:col>14</xdr:col>
      <xdr:colOff>581025</xdr:colOff>
      <xdr:row>31</xdr:row>
      <xdr:rowOff>73478</xdr:rowOff>
    </xdr:to>
    <mc:AlternateContent xmlns:mc="http://schemas.openxmlformats.org/markup-compatibility/2006" xmlns:a14="http://schemas.microsoft.com/office/drawing/2010/main">
      <mc:Choice Requires="a14">
        <xdr:graphicFrame macro="">
          <xdr:nvGraphicFramePr>
            <xdr:cNvPr id="18" name="Medio de pago">
              <a:extLst>
                <a:ext uri="{FF2B5EF4-FFF2-40B4-BE49-F238E27FC236}">
                  <a16:creationId xmlns:a16="http://schemas.microsoft.com/office/drawing/2014/main" id="{D60F1D5C-4147-492A-A8FC-F7BD060EBBE1}"/>
                </a:ext>
              </a:extLst>
            </xdr:cNvPr>
            <xdr:cNvGraphicFramePr/>
          </xdr:nvGraphicFramePr>
          <xdr:xfrm>
            <a:off x="0" y="0"/>
            <a:ext cx="0" cy="0"/>
          </xdr:xfrm>
          <a:graphic>
            <a:graphicData uri="http://schemas.microsoft.com/office/drawing/2010/slicer">
              <sle:slicer xmlns:sle="http://schemas.microsoft.com/office/drawing/2010/slicer" name="Medio de pago"/>
            </a:graphicData>
          </a:graphic>
        </xdr:graphicFrame>
      </mc:Choice>
      <mc:Fallback xmlns="">
        <xdr:sp macro="" textlink="">
          <xdr:nvSpPr>
            <xdr:cNvPr id="0" name=""/>
            <xdr:cNvSpPr>
              <a:spLocks noTextEdit="1"/>
            </xdr:cNvSpPr>
          </xdr:nvSpPr>
          <xdr:spPr>
            <a:xfrm>
              <a:off x="7286625" y="4046763"/>
              <a:ext cx="1828800" cy="1932215"/>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42183</xdr:colOff>
      <xdr:row>21</xdr:row>
      <xdr:rowOff>31297</xdr:rowOff>
    </xdr:from>
    <xdr:to>
      <xdr:col>18</xdr:col>
      <xdr:colOff>42182</xdr:colOff>
      <xdr:row>26</xdr:row>
      <xdr:rowOff>152400</xdr:rowOff>
    </xdr:to>
    <mc:AlternateContent xmlns:mc="http://schemas.openxmlformats.org/markup-compatibility/2006" xmlns:a14="http://schemas.microsoft.com/office/drawing/2010/main">
      <mc:Choice Requires="a14">
        <xdr:graphicFrame macro="">
          <xdr:nvGraphicFramePr>
            <xdr:cNvPr id="19" name="En cuotas">
              <a:extLst>
                <a:ext uri="{FF2B5EF4-FFF2-40B4-BE49-F238E27FC236}">
                  <a16:creationId xmlns:a16="http://schemas.microsoft.com/office/drawing/2014/main" id="{275ADFCD-86C5-4228-8C80-744A41C99C41}"/>
                </a:ext>
              </a:extLst>
            </xdr:cNvPr>
            <xdr:cNvGraphicFramePr/>
          </xdr:nvGraphicFramePr>
          <xdr:xfrm>
            <a:off x="0" y="0"/>
            <a:ext cx="0" cy="0"/>
          </xdr:xfrm>
          <a:graphic>
            <a:graphicData uri="http://schemas.microsoft.com/office/drawing/2010/slicer">
              <sle:slicer xmlns:sle="http://schemas.microsoft.com/office/drawing/2010/slicer" name="En cuotas"/>
            </a:graphicData>
          </a:graphic>
        </xdr:graphicFrame>
      </mc:Choice>
      <mc:Fallback xmlns="">
        <xdr:sp macro="" textlink="">
          <xdr:nvSpPr>
            <xdr:cNvPr id="0" name=""/>
            <xdr:cNvSpPr>
              <a:spLocks noTextEdit="1"/>
            </xdr:cNvSpPr>
          </xdr:nvSpPr>
          <xdr:spPr>
            <a:xfrm>
              <a:off x="9186183" y="4031797"/>
              <a:ext cx="1828799" cy="1073603"/>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270062</xdr:colOff>
      <xdr:row>0</xdr:row>
      <xdr:rowOff>41462</xdr:rowOff>
    </xdr:from>
    <xdr:to>
      <xdr:col>18</xdr:col>
      <xdr:colOff>28575</xdr:colOff>
      <xdr:row>4</xdr:row>
      <xdr:rowOff>171450</xdr:rowOff>
    </xdr:to>
    <xdr:sp macro="" textlink="">
      <xdr:nvSpPr>
        <xdr:cNvPr id="20" name="Rectangle: Rounded Corners 19">
          <a:extLst>
            <a:ext uri="{FF2B5EF4-FFF2-40B4-BE49-F238E27FC236}">
              <a16:creationId xmlns:a16="http://schemas.microsoft.com/office/drawing/2014/main" id="{B07B475E-A53E-8136-CF82-9C0EE140ACC9}"/>
            </a:ext>
          </a:extLst>
        </xdr:cNvPr>
        <xdr:cNvSpPr/>
      </xdr:nvSpPr>
      <xdr:spPr>
        <a:xfrm>
          <a:off x="270062" y="41462"/>
          <a:ext cx="10731313" cy="891988"/>
        </a:xfrm>
        <a:prstGeom prst="roundRect">
          <a:avLst/>
        </a:prstGeom>
        <a:solidFill>
          <a:schemeClr val="tx2">
            <a:lumMod val="75000"/>
            <a:lumOff val="25000"/>
          </a:schemeClr>
        </a:solidFill>
        <a:ln>
          <a:noFill/>
        </a:ln>
        <a:effectLst>
          <a:outerShdw blurRad="50800" dist="38100" dir="2700000" algn="tl" rotWithShape="0">
            <a:schemeClr val="tx2">
              <a:lumMod val="75000"/>
              <a:lumOff val="25000"/>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0</xdr:col>
      <xdr:colOff>381000</xdr:colOff>
      <xdr:row>0</xdr:row>
      <xdr:rowOff>171450</xdr:rowOff>
    </xdr:from>
    <xdr:to>
      <xdr:col>17</xdr:col>
      <xdr:colOff>419100</xdr:colOff>
      <xdr:row>4</xdr:row>
      <xdr:rowOff>9525</xdr:rowOff>
    </xdr:to>
    <xdr:sp macro="" textlink="">
      <xdr:nvSpPr>
        <xdr:cNvPr id="21" name="TextBox 20">
          <a:extLst>
            <a:ext uri="{FF2B5EF4-FFF2-40B4-BE49-F238E27FC236}">
              <a16:creationId xmlns:a16="http://schemas.microsoft.com/office/drawing/2014/main" id="{AF0D5720-B9AC-3642-F00B-12144054FF53}"/>
            </a:ext>
          </a:extLst>
        </xdr:cNvPr>
        <xdr:cNvSpPr txBox="1"/>
      </xdr:nvSpPr>
      <xdr:spPr>
        <a:xfrm>
          <a:off x="381000" y="171450"/>
          <a:ext cx="1040130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2400" b="1">
              <a:solidFill>
                <a:schemeClr val="bg1"/>
              </a:solidFill>
              <a:latin typeface="Segoe UI Semilight" panose="020B0402040204020203" pitchFamily="34" charset="0"/>
              <a:cs typeface="Segoe UI Semilight" panose="020B0402040204020203" pitchFamily="34" charset="0"/>
            </a:rPr>
            <a:t>Análisis financiero</a:t>
          </a:r>
          <a:r>
            <a:rPr lang="es-AR" sz="2400" b="1" baseline="0">
              <a:solidFill>
                <a:schemeClr val="bg1"/>
              </a:solidFill>
              <a:latin typeface="Segoe UI Semilight" panose="020B0402040204020203" pitchFamily="34" charset="0"/>
              <a:cs typeface="Segoe UI Semilight" panose="020B0402040204020203" pitchFamily="34" charset="0"/>
            </a:rPr>
            <a:t> personal 2025</a:t>
          </a:r>
          <a:endParaRPr lang="es-AR" sz="2400" b="1">
            <a:solidFill>
              <a:schemeClr val="bg1"/>
            </a:solidFill>
            <a:latin typeface="Segoe UI Semilight" panose="020B0402040204020203" pitchFamily="34" charset="0"/>
            <a:cs typeface="Segoe UI Semilight" panose="020B04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ricio Sanchez" refreshedDate="46034.417453587965" createdVersion="8" refreshedVersion="8" minRefreshableVersion="3" recordCount="134" xr:uid="{4C64037D-CEE6-48AB-9DAE-7460D69B4806}">
  <cacheSource type="worksheet">
    <worksheetSource name="gastos_2025"/>
  </cacheSource>
  <cacheFields count="13">
    <cacheField name="Index" numFmtId="0">
      <sharedItems containsSemiMixedTypes="0" containsString="0" containsNumber="1" containsInteger="1" minValue="0" maxValue="133"/>
    </cacheField>
    <cacheField name="Fecha" numFmtId="14">
      <sharedItems containsSemiMixedTypes="0" containsNonDate="0" containsDate="1" containsString="0" minDate="2025-01-01T00:00:00" maxDate="2025-12-26T00:00:00"/>
    </cacheField>
    <cacheField name="Categoría" numFmtId="0">
      <sharedItems count="5">
        <s v="Transporte"/>
        <s v="Servicios"/>
        <s v="Ocio"/>
        <s v="Supermercado"/>
        <s v="Educación"/>
      </sharedItems>
    </cacheField>
    <cacheField name="Descripción" numFmtId="0">
      <sharedItems/>
    </cacheField>
    <cacheField name="Monto" numFmtId="0">
      <sharedItems containsSemiMixedTypes="0" containsString="0" containsNumber="1" minValue="7100" maxValue="150166"/>
    </cacheField>
    <cacheField name="Medio de pago" numFmtId="0">
      <sharedItems count="5">
        <s v="Tarjeta débito"/>
        <s v="Débito automático"/>
        <s v="Tarjeta crédito"/>
        <s v="Efectivo"/>
        <s v="Transferencia"/>
      </sharedItems>
    </cacheField>
    <cacheField name="En cuotas" numFmtId="0">
      <sharedItems count="2">
        <s v="No"/>
        <s v="Sí"/>
      </sharedItems>
    </cacheField>
    <cacheField name="N° cuota" numFmtId="0">
      <sharedItems containsString="0" containsBlank="1" containsNumber="1" containsInteger="1" minValue="1" maxValue="6"/>
    </cacheField>
    <cacheField name="Total cuotas" numFmtId="0">
      <sharedItems containsString="0" containsBlank="1" containsNumber="1" containsInteger="1" minValue="3" maxValue="6"/>
    </cacheField>
    <cacheField name="Año" numFmtId="0">
      <sharedItems containsSemiMixedTypes="0" containsString="0" containsNumber="1" containsInteger="1" minValue="2025" maxValue="2025"/>
    </cacheField>
    <cacheField name="Mes" numFmtId="0">
      <sharedItems containsSemiMixedTypes="0" containsString="0" containsNumber="1" containsInteger="1" minValue="1" maxValue="12" count="12">
        <n v="1"/>
        <n v="2"/>
        <n v="3"/>
        <n v="4"/>
        <n v="5"/>
        <n v="6"/>
        <n v="7"/>
        <n v="8"/>
        <n v="9"/>
        <n v="10"/>
        <n v="11"/>
        <n v="12"/>
      </sharedItems>
    </cacheField>
    <cacheField name="Año_mes" numFmtId="0">
      <sharedItems count="13">
        <s v="2025-1"/>
        <s v="2025-2"/>
        <s v="2025-3"/>
        <s v="2025-4"/>
        <s v="2025-5"/>
        <s v="2025-6"/>
        <s v="2025-7"/>
        <s v="2025-8"/>
        <s v="2025-9"/>
        <s v="2025-10"/>
        <s v="2025-11"/>
        <s v="2025-12"/>
        <s v="2026-1" u="1"/>
      </sharedItems>
    </cacheField>
    <cacheField name="Tipo de gasto" numFmtId="0">
      <sharedItems count="2">
        <s v="Variable"/>
        <s v="Fijo"/>
      </sharedItems>
    </cacheField>
  </cacheFields>
  <extLst>
    <ext xmlns:x14="http://schemas.microsoft.com/office/spreadsheetml/2009/9/main" uri="{725AE2AE-9491-48be-B2B4-4EB974FC3084}">
      <x14:pivotCacheDefinition pivotCacheId="93925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n v="0"/>
    <d v="2025-01-01T00:00:00"/>
    <x v="0"/>
    <s v="Recarga SUBE"/>
    <n v="10000"/>
    <x v="0"/>
    <x v="0"/>
    <m/>
    <m/>
    <n v="2025"/>
    <x v="0"/>
    <x v="0"/>
    <x v="0"/>
  </r>
  <r>
    <n v="1"/>
    <d v="2025-01-05T00:00:00"/>
    <x v="1"/>
    <s v="Luz"/>
    <n v="11641"/>
    <x v="1"/>
    <x v="0"/>
    <m/>
    <m/>
    <n v="2025"/>
    <x v="0"/>
    <x v="0"/>
    <x v="1"/>
  </r>
  <r>
    <n v="2"/>
    <d v="2025-01-06T00:00:00"/>
    <x v="2"/>
    <s v="Compra PC"/>
    <n v="36546.44"/>
    <x v="2"/>
    <x v="1"/>
    <n v="1"/>
    <n v="6"/>
    <n v="2025"/>
    <x v="0"/>
    <x v="0"/>
    <x v="1"/>
  </r>
  <r>
    <n v="3"/>
    <d v="2025-01-06T00:00:00"/>
    <x v="3"/>
    <s v="Alimentos"/>
    <n v="16380.76"/>
    <x v="3"/>
    <x v="0"/>
    <m/>
    <m/>
    <n v="2025"/>
    <x v="0"/>
    <x v="0"/>
    <x v="0"/>
  </r>
  <r>
    <n v="4"/>
    <d v="2025-01-06T00:00:00"/>
    <x v="1"/>
    <s v="Agua"/>
    <n v="17681"/>
    <x v="1"/>
    <x v="0"/>
    <m/>
    <m/>
    <n v="2025"/>
    <x v="0"/>
    <x v="0"/>
    <x v="1"/>
  </r>
  <r>
    <n v="5"/>
    <d v="2025-01-07T00:00:00"/>
    <x v="1"/>
    <s v="Gas"/>
    <n v="22516"/>
    <x v="1"/>
    <x v="0"/>
    <m/>
    <m/>
    <n v="2025"/>
    <x v="0"/>
    <x v="0"/>
    <x v="1"/>
  </r>
  <r>
    <n v="6"/>
    <d v="2025-01-08T00:00:00"/>
    <x v="1"/>
    <s v="Cable"/>
    <n v="49869"/>
    <x v="1"/>
    <x v="0"/>
    <m/>
    <m/>
    <n v="2025"/>
    <x v="0"/>
    <x v="0"/>
    <x v="1"/>
  </r>
  <r>
    <n v="7"/>
    <d v="2025-01-09T00:00:00"/>
    <x v="1"/>
    <s v="Teléfono"/>
    <n v="8400"/>
    <x v="1"/>
    <x v="0"/>
    <m/>
    <m/>
    <n v="2025"/>
    <x v="0"/>
    <x v="0"/>
    <x v="1"/>
  </r>
  <r>
    <n v="8"/>
    <d v="2025-01-15T00:00:00"/>
    <x v="0"/>
    <s v="Uber"/>
    <n v="7100"/>
    <x v="2"/>
    <x v="0"/>
    <m/>
    <m/>
    <n v="2025"/>
    <x v="0"/>
    <x v="0"/>
    <x v="0"/>
  </r>
  <r>
    <n v="9"/>
    <d v="2025-01-18T00:00:00"/>
    <x v="4"/>
    <s v="Curso online"/>
    <n v="36000"/>
    <x v="2"/>
    <x v="0"/>
    <m/>
    <m/>
    <n v="2025"/>
    <x v="0"/>
    <x v="0"/>
    <x v="0"/>
  </r>
  <r>
    <n v="10"/>
    <d v="2025-01-22T00:00:00"/>
    <x v="2"/>
    <s v="Utensilios de cocina"/>
    <n v="19426"/>
    <x v="2"/>
    <x v="1"/>
    <n v="1"/>
    <n v="3"/>
    <n v="2025"/>
    <x v="0"/>
    <x v="0"/>
    <x v="1"/>
  </r>
  <r>
    <n v="11"/>
    <d v="2025-02-01T00:00:00"/>
    <x v="0"/>
    <s v="Recarga SUBE"/>
    <n v="10000"/>
    <x v="0"/>
    <x v="0"/>
    <m/>
    <m/>
    <n v="2025"/>
    <x v="1"/>
    <x v="1"/>
    <x v="0"/>
  </r>
  <r>
    <n v="12"/>
    <d v="2025-02-05T00:00:00"/>
    <x v="1"/>
    <s v="Luz"/>
    <n v="12635"/>
    <x v="1"/>
    <x v="0"/>
    <m/>
    <m/>
    <n v="2025"/>
    <x v="1"/>
    <x v="1"/>
    <x v="1"/>
  </r>
  <r>
    <n v="13"/>
    <d v="2025-02-06T00:00:00"/>
    <x v="1"/>
    <s v="Agua"/>
    <n v="14867"/>
    <x v="1"/>
    <x v="0"/>
    <m/>
    <m/>
    <n v="2025"/>
    <x v="1"/>
    <x v="1"/>
    <x v="1"/>
  </r>
  <r>
    <n v="14"/>
    <d v="2025-02-06T00:00:00"/>
    <x v="2"/>
    <s v="Compra PC"/>
    <n v="36546.44"/>
    <x v="2"/>
    <x v="1"/>
    <n v="2"/>
    <n v="6"/>
    <n v="2025"/>
    <x v="1"/>
    <x v="1"/>
    <x v="1"/>
  </r>
  <r>
    <n v="15"/>
    <d v="2025-02-07T00:00:00"/>
    <x v="1"/>
    <s v="Gas"/>
    <n v="21576"/>
    <x v="1"/>
    <x v="0"/>
    <m/>
    <m/>
    <n v="2025"/>
    <x v="1"/>
    <x v="1"/>
    <x v="1"/>
  </r>
  <r>
    <n v="16"/>
    <d v="2025-02-08T00:00:00"/>
    <x v="1"/>
    <s v="Cable"/>
    <n v="43573"/>
    <x v="1"/>
    <x v="0"/>
    <m/>
    <m/>
    <n v="2025"/>
    <x v="1"/>
    <x v="1"/>
    <x v="1"/>
  </r>
  <r>
    <n v="17"/>
    <d v="2025-02-09T00:00:00"/>
    <x v="1"/>
    <s v="Teléfono"/>
    <n v="8400"/>
    <x v="1"/>
    <x v="0"/>
    <m/>
    <m/>
    <n v="2025"/>
    <x v="1"/>
    <x v="1"/>
    <x v="1"/>
  </r>
  <r>
    <n v="18"/>
    <d v="2025-02-14T00:00:00"/>
    <x v="2"/>
    <s v="Ropa"/>
    <n v="25678"/>
    <x v="0"/>
    <x v="0"/>
    <m/>
    <m/>
    <n v="2025"/>
    <x v="1"/>
    <x v="1"/>
    <x v="0"/>
  </r>
  <r>
    <n v="19"/>
    <d v="2025-02-15T00:00:00"/>
    <x v="0"/>
    <s v="Uber"/>
    <n v="10771"/>
    <x v="2"/>
    <x v="0"/>
    <m/>
    <m/>
    <n v="2025"/>
    <x v="1"/>
    <x v="1"/>
    <x v="0"/>
  </r>
  <r>
    <n v="20"/>
    <d v="2025-02-22T00:00:00"/>
    <x v="2"/>
    <s v="Utensilios de cocina"/>
    <n v="19426"/>
    <x v="2"/>
    <x v="1"/>
    <n v="2"/>
    <n v="3"/>
    <n v="2025"/>
    <x v="1"/>
    <x v="1"/>
    <x v="1"/>
  </r>
  <r>
    <n v="21"/>
    <d v="2025-03-01T00:00:00"/>
    <x v="0"/>
    <s v="Recarga SUBE"/>
    <n v="10000"/>
    <x v="0"/>
    <x v="0"/>
    <m/>
    <m/>
    <n v="2025"/>
    <x v="2"/>
    <x v="2"/>
    <x v="0"/>
  </r>
  <r>
    <n v="22"/>
    <d v="2025-03-02T00:00:00"/>
    <x v="2"/>
    <s v="Ropa"/>
    <n v="37499"/>
    <x v="0"/>
    <x v="0"/>
    <m/>
    <m/>
    <n v="2025"/>
    <x v="2"/>
    <x v="2"/>
    <x v="0"/>
  </r>
  <r>
    <n v="23"/>
    <d v="2025-03-05T00:00:00"/>
    <x v="1"/>
    <s v="Luz"/>
    <n v="11828"/>
    <x v="1"/>
    <x v="0"/>
    <m/>
    <m/>
    <n v="2025"/>
    <x v="2"/>
    <x v="2"/>
    <x v="1"/>
  </r>
  <r>
    <n v="24"/>
    <d v="2025-03-06T00:00:00"/>
    <x v="1"/>
    <s v="Agua"/>
    <n v="16796"/>
    <x v="1"/>
    <x v="0"/>
    <m/>
    <m/>
    <n v="2025"/>
    <x v="2"/>
    <x v="2"/>
    <x v="1"/>
  </r>
  <r>
    <n v="25"/>
    <d v="2025-03-06T00:00:00"/>
    <x v="2"/>
    <s v="Compra PC"/>
    <n v="36546.44"/>
    <x v="2"/>
    <x v="1"/>
    <n v="3"/>
    <n v="6"/>
    <n v="2025"/>
    <x v="2"/>
    <x v="2"/>
    <x v="1"/>
  </r>
  <r>
    <n v="26"/>
    <d v="2025-03-07T00:00:00"/>
    <x v="1"/>
    <s v="Gas"/>
    <n v="21287"/>
    <x v="1"/>
    <x v="0"/>
    <m/>
    <m/>
    <n v="2025"/>
    <x v="2"/>
    <x v="2"/>
    <x v="1"/>
  </r>
  <r>
    <n v="27"/>
    <d v="2025-03-08T00:00:00"/>
    <x v="1"/>
    <s v="Cable"/>
    <n v="44126"/>
    <x v="1"/>
    <x v="0"/>
    <m/>
    <m/>
    <n v="2025"/>
    <x v="2"/>
    <x v="2"/>
    <x v="1"/>
  </r>
  <r>
    <n v="28"/>
    <d v="2025-03-09T00:00:00"/>
    <x v="1"/>
    <s v="Teléfono"/>
    <n v="8400"/>
    <x v="1"/>
    <x v="0"/>
    <m/>
    <m/>
    <n v="2025"/>
    <x v="2"/>
    <x v="2"/>
    <x v="1"/>
  </r>
  <r>
    <n v="29"/>
    <d v="2025-03-10T00:00:00"/>
    <x v="4"/>
    <s v="Cuota universidad"/>
    <n v="35000"/>
    <x v="4"/>
    <x v="0"/>
    <m/>
    <m/>
    <n v="2025"/>
    <x v="2"/>
    <x v="2"/>
    <x v="1"/>
  </r>
  <r>
    <n v="30"/>
    <d v="2025-03-13T00:00:00"/>
    <x v="2"/>
    <s v="Zapatillas"/>
    <n v="59550"/>
    <x v="0"/>
    <x v="0"/>
    <m/>
    <m/>
    <n v="2025"/>
    <x v="2"/>
    <x v="2"/>
    <x v="0"/>
  </r>
  <r>
    <n v="31"/>
    <d v="2025-03-15T00:00:00"/>
    <x v="2"/>
    <s v="Salida"/>
    <n v="29426"/>
    <x v="0"/>
    <x v="0"/>
    <m/>
    <m/>
    <n v="2025"/>
    <x v="2"/>
    <x v="2"/>
    <x v="0"/>
  </r>
  <r>
    <n v="32"/>
    <d v="2025-03-22T00:00:00"/>
    <x v="2"/>
    <s v="Utensilios de cocina"/>
    <n v="19426"/>
    <x v="2"/>
    <x v="1"/>
    <n v="3"/>
    <n v="3"/>
    <n v="2025"/>
    <x v="2"/>
    <x v="2"/>
    <x v="1"/>
  </r>
  <r>
    <n v="33"/>
    <d v="2025-03-27T00:00:00"/>
    <x v="2"/>
    <s v="Ropa"/>
    <n v="110480"/>
    <x v="0"/>
    <x v="0"/>
    <m/>
    <m/>
    <n v="2025"/>
    <x v="2"/>
    <x v="2"/>
    <x v="0"/>
  </r>
  <r>
    <n v="34"/>
    <d v="2025-04-01T00:00:00"/>
    <x v="0"/>
    <s v="Recarga SUBE"/>
    <n v="10000"/>
    <x v="0"/>
    <x v="0"/>
    <m/>
    <m/>
    <n v="2025"/>
    <x v="3"/>
    <x v="3"/>
    <x v="0"/>
  </r>
  <r>
    <n v="35"/>
    <d v="2025-04-05T00:00:00"/>
    <x v="1"/>
    <s v="Luz"/>
    <n v="10670"/>
    <x v="1"/>
    <x v="0"/>
    <m/>
    <m/>
    <n v="2025"/>
    <x v="3"/>
    <x v="3"/>
    <x v="1"/>
  </r>
  <r>
    <n v="36"/>
    <d v="2025-04-06T00:00:00"/>
    <x v="2"/>
    <s v="Compra PC"/>
    <n v="36546.44"/>
    <x v="2"/>
    <x v="1"/>
    <n v="4"/>
    <n v="6"/>
    <n v="2025"/>
    <x v="3"/>
    <x v="3"/>
    <x v="1"/>
  </r>
  <r>
    <n v="37"/>
    <d v="2025-04-06T00:00:00"/>
    <x v="1"/>
    <s v="Agua"/>
    <n v="19275"/>
    <x v="1"/>
    <x v="0"/>
    <m/>
    <m/>
    <n v="2025"/>
    <x v="3"/>
    <x v="3"/>
    <x v="1"/>
  </r>
  <r>
    <n v="38"/>
    <d v="2025-04-07T00:00:00"/>
    <x v="1"/>
    <s v="Gas"/>
    <n v="18739"/>
    <x v="1"/>
    <x v="0"/>
    <m/>
    <m/>
    <n v="2025"/>
    <x v="3"/>
    <x v="3"/>
    <x v="1"/>
  </r>
  <r>
    <n v="39"/>
    <d v="2025-04-08T00:00:00"/>
    <x v="1"/>
    <s v="Cable"/>
    <n v="42738"/>
    <x v="1"/>
    <x v="0"/>
    <m/>
    <m/>
    <n v="2025"/>
    <x v="3"/>
    <x v="3"/>
    <x v="1"/>
  </r>
  <r>
    <n v="40"/>
    <d v="2025-04-08T00:00:00"/>
    <x v="2"/>
    <s v="Ropa"/>
    <n v="32291"/>
    <x v="0"/>
    <x v="0"/>
    <m/>
    <m/>
    <n v="2025"/>
    <x v="3"/>
    <x v="3"/>
    <x v="0"/>
  </r>
  <r>
    <n v="41"/>
    <d v="2025-04-09T00:00:00"/>
    <x v="1"/>
    <s v="Teléfono"/>
    <n v="9600"/>
    <x v="1"/>
    <x v="0"/>
    <m/>
    <m/>
    <n v="2025"/>
    <x v="3"/>
    <x v="3"/>
    <x v="1"/>
  </r>
  <r>
    <n v="42"/>
    <d v="2025-04-10T00:00:00"/>
    <x v="4"/>
    <s v="Cuota universidad"/>
    <n v="35000"/>
    <x v="4"/>
    <x v="0"/>
    <m/>
    <m/>
    <n v="2025"/>
    <x v="3"/>
    <x v="3"/>
    <x v="1"/>
  </r>
  <r>
    <n v="43"/>
    <d v="2025-05-01T00:00:00"/>
    <x v="0"/>
    <s v="Recarga SUBE"/>
    <n v="10000"/>
    <x v="0"/>
    <x v="0"/>
    <m/>
    <m/>
    <n v="2025"/>
    <x v="4"/>
    <x v="4"/>
    <x v="0"/>
  </r>
  <r>
    <n v="44"/>
    <d v="2025-05-05T00:00:00"/>
    <x v="1"/>
    <s v="Luz"/>
    <n v="10058"/>
    <x v="1"/>
    <x v="0"/>
    <m/>
    <m/>
    <n v="2025"/>
    <x v="4"/>
    <x v="4"/>
    <x v="1"/>
  </r>
  <r>
    <n v="45"/>
    <d v="2025-05-06T00:00:00"/>
    <x v="2"/>
    <s v="Compra PC"/>
    <n v="36546.44"/>
    <x v="2"/>
    <x v="1"/>
    <n v="5"/>
    <n v="6"/>
    <n v="2025"/>
    <x v="4"/>
    <x v="4"/>
    <x v="1"/>
  </r>
  <r>
    <n v="46"/>
    <d v="2025-05-06T00:00:00"/>
    <x v="1"/>
    <s v="Agua"/>
    <n v="23639"/>
    <x v="1"/>
    <x v="0"/>
    <m/>
    <m/>
    <n v="2025"/>
    <x v="4"/>
    <x v="4"/>
    <x v="1"/>
  </r>
  <r>
    <n v="47"/>
    <d v="2025-05-07T00:00:00"/>
    <x v="1"/>
    <s v="Gas"/>
    <n v="21836"/>
    <x v="1"/>
    <x v="0"/>
    <m/>
    <m/>
    <n v="2025"/>
    <x v="4"/>
    <x v="4"/>
    <x v="1"/>
  </r>
  <r>
    <n v="48"/>
    <d v="2025-05-08T00:00:00"/>
    <x v="1"/>
    <s v="Cable"/>
    <n v="47870"/>
    <x v="1"/>
    <x v="0"/>
    <m/>
    <m/>
    <n v="2025"/>
    <x v="4"/>
    <x v="4"/>
    <x v="1"/>
  </r>
  <r>
    <n v="49"/>
    <d v="2025-05-09T00:00:00"/>
    <x v="1"/>
    <s v="Teléfono"/>
    <n v="9600"/>
    <x v="1"/>
    <x v="0"/>
    <m/>
    <m/>
    <n v="2025"/>
    <x v="4"/>
    <x v="4"/>
    <x v="1"/>
  </r>
  <r>
    <n v="50"/>
    <d v="2025-05-09T00:00:00"/>
    <x v="3"/>
    <s v="Alimentos"/>
    <n v="19800.3"/>
    <x v="0"/>
    <x v="0"/>
    <m/>
    <m/>
    <n v="2025"/>
    <x v="4"/>
    <x v="4"/>
    <x v="0"/>
  </r>
  <r>
    <n v="51"/>
    <d v="2025-05-10T00:00:00"/>
    <x v="4"/>
    <s v="Cuota universidad"/>
    <n v="35000"/>
    <x v="4"/>
    <x v="0"/>
    <m/>
    <m/>
    <n v="2025"/>
    <x v="4"/>
    <x v="4"/>
    <x v="1"/>
  </r>
  <r>
    <n v="52"/>
    <d v="2025-05-12T00:00:00"/>
    <x v="2"/>
    <s v="Ropa"/>
    <n v="29990"/>
    <x v="0"/>
    <x v="0"/>
    <m/>
    <m/>
    <n v="2025"/>
    <x v="4"/>
    <x v="4"/>
    <x v="0"/>
  </r>
  <r>
    <n v="53"/>
    <d v="2025-05-14T00:00:00"/>
    <x v="2"/>
    <s v="Ropa"/>
    <n v="9075"/>
    <x v="2"/>
    <x v="1"/>
    <n v="1"/>
    <n v="6"/>
    <n v="2025"/>
    <x v="4"/>
    <x v="4"/>
    <x v="1"/>
  </r>
  <r>
    <n v="54"/>
    <d v="2025-05-15T00:00:00"/>
    <x v="0"/>
    <s v="Uber"/>
    <n v="7448"/>
    <x v="2"/>
    <x v="0"/>
    <m/>
    <m/>
    <n v="2025"/>
    <x v="4"/>
    <x v="4"/>
    <x v="0"/>
  </r>
  <r>
    <n v="55"/>
    <d v="2025-05-24T00:00:00"/>
    <x v="2"/>
    <s v="Ropa"/>
    <n v="45590"/>
    <x v="0"/>
    <x v="0"/>
    <m/>
    <m/>
    <n v="2025"/>
    <x v="4"/>
    <x v="4"/>
    <x v="0"/>
  </r>
  <r>
    <n v="56"/>
    <d v="2025-06-01T00:00:00"/>
    <x v="0"/>
    <s v="Recarga SUBE"/>
    <n v="10000"/>
    <x v="0"/>
    <x v="0"/>
    <m/>
    <m/>
    <n v="2025"/>
    <x v="5"/>
    <x v="5"/>
    <x v="0"/>
  </r>
  <r>
    <n v="57"/>
    <d v="2025-06-05T00:00:00"/>
    <x v="1"/>
    <s v="Luz"/>
    <n v="9386"/>
    <x v="1"/>
    <x v="0"/>
    <m/>
    <m/>
    <n v="2025"/>
    <x v="5"/>
    <x v="5"/>
    <x v="1"/>
  </r>
  <r>
    <n v="58"/>
    <d v="2025-06-06T00:00:00"/>
    <x v="2"/>
    <s v="Compra PC"/>
    <n v="36546.44"/>
    <x v="2"/>
    <x v="1"/>
    <n v="6"/>
    <n v="6"/>
    <n v="2025"/>
    <x v="5"/>
    <x v="5"/>
    <x v="1"/>
  </r>
  <r>
    <n v="59"/>
    <d v="2025-06-06T00:00:00"/>
    <x v="1"/>
    <s v="Agua"/>
    <n v="23605"/>
    <x v="1"/>
    <x v="0"/>
    <m/>
    <m/>
    <n v="2025"/>
    <x v="5"/>
    <x v="5"/>
    <x v="1"/>
  </r>
  <r>
    <n v="60"/>
    <d v="2025-06-07T00:00:00"/>
    <x v="1"/>
    <s v="Gas"/>
    <n v="17318"/>
    <x v="1"/>
    <x v="0"/>
    <m/>
    <m/>
    <n v="2025"/>
    <x v="5"/>
    <x v="5"/>
    <x v="1"/>
  </r>
  <r>
    <n v="61"/>
    <d v="2025-06-08T00:00:00"/>
    <x v="1"/>
    <s v="Cable"/>
    <n v="48381"/>
    <x v="1"/>
    <x v="0"/>
    <m/>
    <m/>
    <n v="2025"/>
    <x v="5"/>
    <x v="5"/>
    <x v="1"/>
  </r>
  <r>
    <n v="62"/>
    <d v="2025-06-08T00:00:00"/>
    <x v="2"/>
    <s v="Libros"/>
    <n v="56286"/>
    <x v="0"/>
    <x v="0"/>
    <m/>
    <m/>
    <n v="2025"/>
    <x v="5"/>
    <x v="5"/>
    <x v="0"/>
  </r>
  <r>
    <n v="63"/>
    <d v="2025-06-09T00:00:00"/>
    <x v="1"/>
    <s v="Teléfono"/>
    <n v="9600"/>
    <x v="1"/>
    <x v="0"/>
    <m/>
    <m/>
    <n v="2025"/>
    <x v="5"/>
    <x v="5"/>
    <x v="1"/>
  </r>
  <r>
    <n v="64"/>
    <d v="2025-06-10T00:00:00"/>
    <x v="4"/>
    <s v="Cuota universidad"/>
    <n v="35000"/>
    <x v="4"/>
    <x v="0"/>
    <m/>
    <m/>
    <n v="2025"/>
    <x v="5"/>
    <x v="5"/>
    <x v="1"/>
  </r>
  <r>
    <n v="65"/>
    <d v="2025-06-14T00:00:00"/>
    <x v="2"/>
    <s v="Ropa"/>
    <n v="9075"/>
    <x v="2"/>
    <x v="1"/>
    <n v="2"/>
    <n v="6"/>
    <n v="2025"/>
    <x v="5"/>
    <x v="5"/>
    <x v="1"/>
  </r>
  <r>
    <n v="66"/>
    <d v="2025-06-20T00:00:00"/>
    <x v="2"/>
    <s v="Salida"/>
    <n v="13830"/>
    <x v="3"/>
    <x v="0"/>
    <m/>
    <m/>
    <n v="2025"/>
    <x v="5"/>
    <x v="5"/>
    <x v="0"/>
  </r>
  <r>
    <n v="67"/>
    <d v="2025-06-24T00:00:00"/>
    <x v="2"/>
    <s v="Ropa"/>
    <n v="45590"/>
    <x v="0"/>
    <x v="0"/>
    <m/>
    <m/>
    <n v="2025"/>
    <x v="5"/>
    <x v="5"/>
    <x v="0"/>
  </r>
  <r>
    <n v="68"/>
    <d v="2025-07-01T00:00:00"/>
    <x v="0"/>
    <s v="Recarga SUBE"/>
    <n v="10000"/>
    <x v="0"/>
    <x v="0"/>
    <m/>
    <m/>
    <n v="2025"/>
    <x v="6"/>
    <x v="6"/>
    <x v="0"/>
  </r>
  <r>
    <n v="69"/>
    <d v="2025-07-05T00:00:00"/>
    <x v="1"/>
    <s v="Luz"/>
    <n v="11853"/>
    <x v="1"/>
    <x v="0"/>
    <m/>
    <m/>
    <n v="2025"/>
    <x v="6"/>
    <x v="6"/>
    <x v="1"/>
  </r>
  <r>
    <n v="70"/>
    <d v="2025-07-06T00:00:00"/>
    <x v="1"/>
    <s v="Agua"/>
    <n v="26561"/>
    <x v="1"/>
    <x v="0"/>
    <m/>
    <m/>
    <n v="2025"/>
    <x v="6"/>
    <x v="6"/>
    <x v="1"/>
  </r>
  <r>
    <n v="71"/>
    <d v="2025-07-07T00:00:00"/>
    <x v="1"/>
    <s v="Gas"/>
    <n v="16012"/>
    <x v="1"/>
    <x v="0"/>
    <m/>
    <m/>
    <n v="2025"/>
    <x v="6"/>
    <x v="6"/>
    <x v="1"/>
  </r>
  <r>
    <n v="72"/>
    <d v="2025-07-08T00:00:00"/>
    <x v="1"/>
    <s v="Cable"/>
    <n v="36619"/>
    <x v="1"/>
    <x v="0"/>
    <m/>
    <m/>
    <n v="2025"/>
    <x v="6"/>
    <x v="6"/>
    <x v="1"/>
  </r>
  <r>
    <n v="73"/>
    <d v="2025-07-09T00:00:00"/>
    <x v="1"/>
    <s v="Teléfono"/>
    <n v="10800"/>
    <x v="1"/>
    <x v="0"/>
    <m/>
    <m/>
    <n v="2025"/>
    <x v="6"/>
    <x v="6"/>
    <x v="1"/>
  </r>
  <r>
    <n v="74"/>
    <d v="2025-07-10T00:00:00"/>
    <x v="4"/>
    <s v="Cuota universidad"/>
    <n v="35000"/>
    <x v="4"/>
    <x v="0"/>
    <m/>
    <m/>
    <n v="2025"/>
    <x v="6"/>
    <x v="6"/>
    <x v="1"/>
  </r>
  <r>
    <n v="75"/>
    <d v="2025-07-14T00:00:00"/>
    <x v="2"/>
    <s v="Ropa"/>
    <n v="9075"/>
    <x v="2"/>
    <x v="1"/>
    <n v="3"/>
    <n v="6"/>
    <n v="2025"/>
    <x v="6"/>
    <x v="6"/>
    <x v="1"/>
  </r>
  <r>
    <n v="76"/>
    <d v="2025-07-14T00:00:00"/>
    <x v="2"/>
    <s v="Auriculares"/>
    <n v="26857"/>
    <x v="0"/>
    <x v="0"/>
    <m/>
    <m/>
    <n v="2025"/>
    <x v="6"/>
    <x v="6"/>
    <x v="0"/>
  </r>
  <r>
    <n v="77"/>
    <d v="2025-07-15T00:00:00"/>
    <x v="2"/>
    <s v="Ropa"/>
    <n v="48000"/>
    <x v="0"/>
    <x v="0"/>
    <m/>
    <m/>
    <n v="2025"/>
    <x v="6"/>
    <x v="6"/>
    <x v="0"/>
  </r>
  <r>
    <n v="78"/>
    <d v="2025-08-01T00:00:00"/>
    <x v="0"/>
    <s v="Recarga SUBE"/>
    <n v="10000"/>
    <x v="0"/>
    <x v="0"/>
    <m/>
    <m/>
    <n v="2025"/>
    <x v="7"/>
    <x v="7"/>
    <x v="0"/>
  </r>
  <r>
    <n v="79"/>
    <d v="2025-08-05T00:00:00"/>
    <x v="1"/>
    <s v="Luz"/>
    <n v="11547"/>
    <x v="1"/>
    <x v="0"/>
    <m/>
    <m/>
    <n v="2025"/>
    <x v="7"/>
    <x v="7"/>
    <x v="1"/>
  </r>
  <r>
    <n v="80"/>
    <d v="2025-08-06T00:00:00"/>
    <x v="1"/>
    <s v="Agua"/>
    <n v="21041"/>
    <x v="1"/>
    <x v="0"/>
    <m/>
    <m/>
    <n v="2025"/>
    <x v="7"/>
    <x v="7"/>
    <x v="1"/>
  </r>
  <r>
    <n v="81"/>
    <d v="2025-08-07T00:00:00"/>
    <x v="1"/>
    <s v="Gas"/>
    <n v="24240"/>
    <x v="1"/>
    <x v="0"/>
    <m/>
    <m/>
    <n v="2025"/>
    <x v="7"/>
    <x v="7"/>
    <x v="1"/>
  </r>
  <r>
    <n v="82"/>
    <d v="2025-08-08T00:00:00"/>
    <x v="1"/>
    <s v="Cable"/>
    <n v="38151"/>
    <x v="1"/>
    <x v="0"/>
    <m/>
    <m/>
    <n v="2025"/>
    <x v="7"/>
    <x v="7"/>
    <x v="1"/>
  </r>
  <r>
    <n v="83"/>
    <d v="2025-08-09T00:00:00"/>
    <x v="1"/>
    <s v="Teléfono"/>
    <n v="10800"/>
    <x v="1"/>
    <x v="0"/>
    <m/>
    <m/>
    <n v="2025"/>
    <x v="7"/>
    <x v="7"/>
    <x v="1"/>
  </r>
  <r>
    <n v="84"/>
    <d v="2025-08-13T00:00:00"/>
    <x v="3"/>
    <s v="Compras"/>
    <n v="11400"/>
    <x v="0"/>
    <x v="0"/>
    <m/>
    <m/>
    <n v="2025"/>
    <x v="7"/>
    <x v="7"/>
    <x v="0"/>
  </r>
  <r>
    <n v="85"/>
    <d v="2025-08-14T00:00:00"/>
    <x v="2"/>
    <s v="Ropa"/>
    <n v="9075"/>
    <x v="2"/>
    <x v="1"/>
    <n v="4"/>
    <n v="6"/>
    <n v="2025"/>
    <x v="7"/>
    <x v="7"/>
    <x v="1"/>
  </r>
  <r>
    <n v="86"/>
    <d v="2025-08-25T00:00:00"/>
    <x v="2"/>
    <s v="Celular"/>
    <n v="150166"/>
    <x v="2"/>
    <x v="1"/>
    <n v="1"/>
    <n v="6"/>
    <n v="2025"/>
    <x v="7"/>
    <x v="7"/>
    <x v="1"/>
  </r>
  <r>
    <n v="87"/>
    <d v="2025-09-01T00:00:00"/>
    <x v="2"/>
    <s v="Salida"/>
    <n v="26600"/>
    <x v="0"/>
    <x v="0"/>
    <m/>
    <m/>
    <n v="2025"/>
    <x v="8"/>
    <x v="8"/>
    <x v="0"/>
  </r>
  <r>
    <n v="88"/>
    <d v="2025-09-01T00:00:00"/>
    <x v="0"/>
    <s v="Recarga SUBE"/>
    <n v="10000"/>
    <x v="0"/>
    <x v="0"/>
    <m/>
    <m/>
    <n v="2025"/>
    <x v="8"/>
    <x v="8"/>
    <x v="0"/>
  </r>
  <r>
    <n v="89"/>
    <d v="2025-09-03T00:00:00"/>
    <x v="2"/>
    <s v="Salida"/>
    <n v="17300"/>
    <x v="0"/>
    <x v="0"/>
    <m/>
    <m/>
    <n v="2025"/>
    <x v="8"/>
    <x v="8"/>
    <x v="0"/>
  </r>
  <r>
    <n v="90"/>
    <d v="2025-09-05T00:00:00"/>
    <x v="1"/>
    <s v="Luz"/>
    <n v="9161"/>
    <x v="1"/>
    <x v="0"/>
    <m/>
    <m/>
    <n v="2025"/>
    <x v="8"/>
    <x v="8"/>
    <x v="1"/>
  </r>
  <r>
    <n v="91"/>
    <d v="2025-09-05T00:00:00"/>
    <x v="4"/>
    <s v="Curso online"/>
    <n v="34000"/>
    <x v="2"/>
    <x v="0"/>
    <m/>
    <m/>
    <n v="2025"/>
    <x v="8"/>
    <x v="8"/>
    <x v="0"/>
  </r>
  <r>
    <n v="92"/>
    <d v="2025-09-06T00:00:00"/>
    <x v="1"/>
    <s v="Agua"/>
    <n v="25915"/>
    <x v="1"/>
    <x v="0"/>
    <m/>
    <m/>
    <n v="2025"/>
    <x v="8"/>
    <x v="8"/>
    <x v="1"/>
  </r>
  <r>
    <n v="93"/>
    <d v="2025-09-07T00:00:00"/>
    <x v="1"/>
    <s v="Gas"/>
    <n v="17537"/>
    <x v="1"/>
    <x v="0"/>
    <m/>
    <m/>
    <n v="2025"/>
    <x v="8"/>
    <x v="8"/>
    <x v="1"/>
  </r>
  <r>
    <n v="94"/>
    <d v="2025-09-08T00:00:00"/>
    <x v="1"/>
    <s v="Cable"/>
    <n v="45826"/>
    <x v="1"/>
    <x v="0"/>
    <m/>
    <m/>
    <n v="2025"/>
    <x v="8"/>
    <x v="8"/>
    <x v="1"/>
  </r>
  <r>
    <n v="95"/>
    <d v="2025-09-09T00:00:00"/>
    <x v="1"/>
    <s v="Teléfono"/>
    <n v="10800"/>
    <x v="1"/>
    <x v="0"/>
    <m/>
    <m/>
    <n v="2025"/>
    <x v="8"/>
    <x v="8"/>
    <x v="1"/>
  </r>
  <r>
    <n v="96"/>
    <d v="2025-09-14T00:00:00"/>
    <x v="2"/>
    <s v="Ropa"/>
    <n v="9075"/>
    <x v="2"/>
    <x v="1"/>
    <n v="5"/>
    <n v="6"/>
    <n v="2025"/>
    <x v="8"/>
    <x v="8"/>
    <x v="1"/>
  </r>
  <r>
    <n v="97"/>
    <d v="2025-09-15T00:00:00"/>
    <x v="0"/>
    <s v="Uber"/>
    <n v="8852"/>
    <x v="3"/>
    <x v="0"/>
    <m/>
    <m/>
    <n v="2025"/>
    <x v="8"/>
    <x v="8"/>
    <x v="0"/>
  </r>
  <r>
    <n v="98"/>
    <d v="2025-09-15T00:00:00"/>
    <x v="2"/>
    <s v="Valija"/>
    <n v="27757"/>
    <x v="2"/>
    <x v="1"/>
    <n v="1"/>
    <n v="3"/>
    <n v="2025"/>
    <x v="8"/>
    <x v="8"/>
    <x v="1"/>
  </r>
  <r>
    <n v="99"/>
    <d v="2025-09-15T00:00:00"/>
    <x v="2"/>
    <s v="Libros"/>
    <n v="39691"/>
    <x v="0"/>
    <x v="0"/>
    <m/>
    <m/>
    <n v="2025"/>
    <x v="8"/>
    <x v="8"/>
    <x v="0"/>
  </r>
  <r>
    <n v="100"/>
    <d v="2025-09-22T00:00:00"/>
    <x v="2"/>
    <s v="Ropa"/>
    <n v="33000"/>
    <x v="0"/>
    <x v="0"/>
    <m/>
    <m/>
    <n v="2025"/>
    <x v="8"/>
    <x v="8"/>
    <x v="0"/>
  </r>
  <r>
    <n v="101"/>
    <d v="2025-09-25T00:00:00"/>
    <x v="2"/>
    <s v="Celular"/>
    <n v="150166"/>
    <x v="2"/>
    <x v="1"/>
    <n v="2"/>
    <n v="6"/>
    <n v="2025"/>
    <x v="8"/>
    <x v="8"/>
    <x v="1"/>
  </r>
  <r>
    <n v="102"/>
    <d v="2025-09-30T00:00:00"/>
    <x v="2"/>
    <s v="Cargador celular"/>
    <n v="25379"/>
    <x v="0"/>
    <x v="0"/>
    <m/>
    <m/>
    <n v="2025"/>
    <x v="8"/>
    <x v="8"/>
    <x v="0"/>
  </r>
  <r>
    <n v="103"/>
    <d v="2025-10-01T00:00:00"/>
    <x v="0"/>
    <s v="Recarga SUBE"/>
    <n v="12000"/>
    <x v="0"/>
    <x v="0"/>
    <m/>
    <m/>
    <n v="2025"/>
    <x v="9"/>
    <x v="9"/>
    <x v="0"/>
  </r>
  <r>
    <n v="104"/>
    <d v="2025-10-05T00:00:00"/>
    <x v="1"/>
    <s v="Luz"/>
    <n v="10863"/>
    <x v="1"/>
    <x v="0"/>
    <m/>
    <m/>
    <n v="2025"/>
    <x v="9"/>
    <x v="9"/>
    <x v="1"/>
  </r>
  <r>
    <n v="105"/>
    <d v="2025-10-06T00:00:00"/>
    <x v="1"/>
    <s v="Agua"/>
    <n v="18432"/>
    <x v="1"/>
    <x v="0"/>
    <m/>
    <m/>
    <n v="2025"/>
    <x v="9"/>
    <x v="9"/>
    <x v="1"/>
  </r>
  <r>
    <n v="106"/>
    <d v="2025-10-07T00:00:00"/>
    <x v="1"/>
    <s v="Gas"/>
    <n v="18999"/>
    <x v="1"/>
    <x v="0"/>
    <m/>
    <m/>
    <n v="2025"/>
    <x v="9"/>
    <x v="9"/>
    <x v="1"/>
  </r>
  <r>
    <n v="107"/>
    <d v="2025-10-08T00:00:00"/>
    <x v="1"/>
    <s v="Cable"/>
    <n v="37039"/>
    <x v="1"/>
    <x v="0"/>
    <m/>
    <m/>
    <n v="2025"/>
    <x v="9"/>
    <x v="9"/>
    <x v="1"/>
  </r>
  <r>
    <n v="108"/>
    <d v="2025-10-09T00:00:00"/>
    <x v="1"/>
    <s v="Teléfono"/>
    <n v="11800"/>
    <x v="1"/>
    <x v="0"/>
    <m/>
    <m/>
    <n v="2025"/>
    <x v="9"/>
    <x v="9"/>
    <x v="1"/>
  </r>
  <r>
    <n v="109"/>
    <d v="2025-10-14T00:00:00"/>
    <x v="2"/>
    <s v="Ropa"/>
    <n v="9075"/>
    <x v="2"/>
    <x v="1"/>
    <n v="6"/>
    <n v="6"/>
    <n v="2025"/>
    <x v="9"/>
    <x v="9"/>
    <x v="1"/>
  </r>
  <r>
    <n v="110"/>
    <d v="2025-10-15T00:00:00"/>
    <x v="2"/>
    <s v="Valija"/>
    <n v="27757"/>
    <x v="2"/>
    <x v="1"/>
    <n v="2"/>
    <n v="3"/>
    <n v="2025"/>
    <x v="9"/>
    <x v="9"/>
    <x v="1"/>
  </r>
  <r>
    <n v="111"/>
    <d v="2025-10-25T00:00:00"/>
    <x v="2"/>
    <s v="Celular"/>
    <n v="150166"/>
    <x v="2"/>
    <x v="1"/>
    <n v="3"/>
    <n v="6"/>
    <n v="2025"/>
    <x v="9"/>
    <x v="9"/>
    <x v="1"/>
  </r>
  <r>
    <n v="112"/>
    <d v="2025-11-01T00:00:00"/>
    <x v="0"/>
    <s v="Recarga SUBE"/>
    <n v="12000"/>
    <x v="0"/>
    <x v="0"/>
    <m/>
    <m/>
    <n v="2025"/>
    <x v="10"/>
    <x v="10"/>
    <x v="0"/>
  </r>
  <r>
    <n v="113"/>
    <d v="2025-11-03T00:00:00"/>
    <x v="2"/>
    <s v="Zapatillas"/>
    <n v="32999"/>
    <x v="0"/>
    <x v="0"/>
    <m/>
    <m/>
    <n v="2025"/>
    <x v="10"/>
    <x v="10"/>
    <x v="0"/>
  </r>
  <r>
    <n v="114"/>
    <d v="2025-11-03T00:00:00"/>
    <x v="2"/>
    <s v="Perfume"/>
    <n v="27316"/>
    <x v="0"/>
    <x v="0"/>
    <m/>
    <m/>
    <n v="2025"/>
    <x v="10"/>
    <x v="10"/>
    <x v="0"/>
  </r>
  <r>
    <n v="115"/>
    <d v="2025-11-05T00:00:00"/>
    <x v="1"/>
    <s v="Luz"/>
    <n v="11741"/>
    <x v="1"/>
    <x v="0"/>
    <m/>
    <m/>
    <n v="2025"/>
    <x v="10"/>
    <x v="10"/>
    <x v="1"/>
  </r>
  <r>
    <n v="116"/>
    <d v="2025-11-06T00:00:00"/>
    <x v="1"/>
    <s v="Agua"/>
    <n v="16378"/>
    <x v="1"/>
    <x v="0"/>
    <m/>
    <m/>
    <n v="2025"/>
    <x v="10"/>
    <x v="10"/>
    <x v="1"/>
  </r>
  <r>
    <n v="117"/>
    <d v="2025-11-07T00:00:00"/>
    <x v="1"/>
    <s v="Gas"/>
    <n v="21834"/>
    <x v="1"/>
    <x v="0"/>
    <m/>
    <m/>
    <n v="2025"/>
    <x v="10"/>
    <x v="10"/>
    <x v="1"/>
  </r>
  <r>
    <n v="118"/>
    <d v="2025-11-08T00:00:00"/>
    <x v="1"/>
    <s v="Cable"/>
    <n v="37162"/>
    <x v="1"/>
    <x v="0"/>
    <m/>
    <m/>
    <n v="2025"/>
    <x v="10"/>
    <x v="10"/>
    <x v="1"/>
  </r>
  <r>
    <n v="119"/>
    <d v="2025-11-09T00:00:00"/>
    <x v="1"/>
    <s v="Teléfono"/>
    <n v="11800"/>
    <x v="1"/>
    <x v="0"/>
    <m/>
    <m/>
    <n v="2025"/>
    <x v="10"/>
    <x v="10"/>
    <x v="1"/>
  </r>
  <r>
    <n v="120"/>
    <d v="2025-11-15T00:00:00"/>
    <x v="2"/>
    <s v="Valija"/>
    <n v="27757"/>
    <x v="2"/>
    <x v="1"/>
    <n v="3"/>
    <n v="3"/>
    <n v="2025"/>
    <x v="10"/>
    <x v="10"/>
    <x v="1"/>
  </r>
  <r>
    <n v="121"/>
    <d v="2025-11-21T00:00:00"/>
    <x v="2"/>
    <s v="Ropa"/>
    <n v="31459"/>
    <x v="2"/>
    <x v="0"/>
    <m/>
    <m/>
    <n v="2025"/>
    <x v="10"/>
    <x v="10"/>
    <x v="0"/>
  </r>
  <r>
    <n v="122"/>
    <d v="2025-11-25T00:00:00"/>
    <x v="2"/>
    <s v="Celular"/>
    <n v="150166"/>
    <x v="2"/>
    <x v="1"/>
    <n v="4"/>
    <n v="6"/>
    <n v="2025"/>
    <x v="10"/>
    <x v="10"/>
    <x v="1"/>
  </r>
  <r>
    <n v="123"/>
    <d v="2025-12-01T00:00:00"/>
    <x v="0"/>
    <s v="Recarga SUBE"/>
    <n v="15000"/>
    <x v="0"/>
    <x v="0"/>
    <m/>
    <m/>
    <n v="2025"/>
    <x v="11"/>
    <x v="11"/>
    <x v="0"/>
  </r>
  <r>
    <n v="124"/>
    <d v="2025-12-01T00:00:00"/>
    <x v="2"/>
    <s v="Ropa"/>
    <n v="43950"/>
    <x v="0"/>
    <x v="0"/>
    <m/>
    <m/>
    <n v="2025"/>
    <x v="11"/>
    <x v="11"/>
    <x v="0"/>
  </r>
  <r>
    <n v="125"/>
    <d v="2025-12-05T00:00:00"/>
    <x v="1"/>
    <s v="Luz"/>
    <n v="9199"/>
    <x v="1"/>
    <x v="0"/>
    <m/>
    <m/>
    <n v="2025"/>
    <x v="11"/>
    <x v="11"/>
    <x v="1"/>
  </r>
  <r>
    <n v="126"/>
    <d v="2025-12-06T00:00:00"/>
    <x v="1"/>
    <s v="Agua"/>
    <n v="18707"/>
    <x v="1"/>
    <x v="0"/>
    <m/>
    <m/>
    <n v="2025"/>
    <x v="11"/>
    <x v="11"/>
    <x v="1"/>
  </r>
  <r>
    <n v="127"/>
    <d v="2025-12-07T00:00:00"/>
    <x v="1"/>
    <s v="Gas"/>
    <n v="19478"/>
    <x v="1"/>
    <x v="0"/>
    <m/>
    <m/>
    <n v="2025"/>
    <x v="11"/>
    <x v="11"/>
    <x v="1"/>
  </r>
  <r>
    <n v="128"/>
    <d v="2025-12-08T00:00:00"/>
    <x v="2"/>
    <s v="Salida"/>
    <n v="30900"/>
    <x v="3"/>
    <x v="0"/>
    <m/>
    <m/>
    <n v="2025"/>
    <x v="11"/>
    <x v="11"/>
    <x v="0"/>
  </r>
  <r>
    <n v="129"/>
    <d v="2025-12-08T00:00:00"/>
    <x v="1"/>
    <s v="Cable"/>
    <n v="42734"/>
    <x v="1"/>
    <x v="0"/>
    <m/>
    <m/>
    <n v="2025"/>
    <x v="11"/>
    <x v="11"/>
    <x v="1"/>
  </r>
  <r>
    <n v="130"/>
    <d v="2025-12-09T00:00:00"/>
    <x v="1"/>
    <s v="Teléfono"/>
    <n v="11800"/>
    <x v="1"/>
    <x v="0"/>
    <m/>
    <m/>
    <n v="2025"/>
    <x v="11"/>
    <x v="11"/>
    <x v="1"/>
  </r>
  <r>
    <n v="131"/>
    <d v="2025-12-15T00:00:00"/>
    <x v="0"/>
    <s v="Uber"/>
    <n v="11733"/>
    <x v="3"/>
    <x v="0"/>
    <m/>
    <m/>
    <n v="2025"/>
    <x v="11"/>
    <x v="11"/>
    <x v="0"/>
  </r>
  <r>
    <n v="132"/>
    <d v="2025-12-15T00:00:00"/>
    <x v="3"/>
    <s v="Compras"/>
    <n v="23440.78"/>
    <x v="3"/>
    <x v="0"/>
    <m/>
    <m/>
    <n v="2025"/>
    <x v="11"/>
    <x v="11"/>
    <x v="0"/>
  </r>
  <r>
    <n v="133"/>
    <d v="2025-12-25T00:00:00"/>
    <x v="2"/>
    <s v="Celular"/>
    <n v="150166"/>
    <x v="2"/>
    <x v="1"/>
    <n v="5"/>
    <n v="6"/>
    <n v="2025"/>
    <x v="11"/>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D62FE2-8AC4-454E-A873-D183644A5D0C}" name="PivotTable7"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edio de pago">
  <location ref="H22:I27" firstHeaderRow="1" firstDataRow="1" firstDataCol="1"/>
  <pivotFields count="13">
    <pivotField showAll="0"/>
    <pivotField numFmtId="14" showAll="0"/>
    <pivotField showAll="0">
      <items count="6">
        <item x="4"/>
        <item x="2"/>
        <item x="1"/>
        <item x="3"/>
        <item x="0"/>
        <item t="default"/>
      </items>
    </pivotField>
    <pivotField showAll="0"/>
    <pivotField dataField="1" showAll="0"/>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s>
  <rowFields count="1">
    <field x="5"/>
  </rowFields>
  <rowItems count="5">
    <i>
      <x v="2"/>
    </i>
    <i>
      <x/>
    </i>
    <i>
      <x v="3"/>
    </i>
    <i>
      <x v="4"/>
    </i>
    <i>
      <x v="1"/>
    </i>
  </rowItems>
  <colItems count="1">
    <i/>
  </colItems>
  <dataFields count="1">
    <dataField name="Total" fld="4" baseField="4" baseItem="0" numFmtId="164"/>
  </dataFields>
  <formats count="5">
    <format dxfId="2342">
      <pivotArea dataOnly="0" labelOnly="1" outline="0" axis="axisValues" fieldPosition="0"/>
    </format>
    <format dxfId="2341">
      <pivotArea dataOnly="0" labelOnly="1" outline="0" axis="axisValues" fieldPosition="0"/>
    </format>
    <format dxfId="2340">
      <pivotArea field="5" type="button" dataOnly="0" labelOnly="1" outline="0" axis="axisRow" fieldPosition="0"/>
    </format>
    <format dxfId="2339">
      <pivotArea field="5" type="button" dataOnly="0" labelOnly="1" outline="0" axis="axisRow" fieldPosition="0"/>
    </format>
    <format dxfId="23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16498A-FB0D-49C7-A0DA-691AE9EF3A0E}" name="PivotTable6"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po de gasto">
  <location ref="E22:F24" firstHeaderRow="1" firstDataRow="1" firstDataCol="1"/>
  <pivotFields count="13">
    <pivotField showAll="0"/>
    <pivotField numFmtId="14" showAll="0"/>
    <pivotField showAll="0">
      <items count="6">
        <item x="4"/>
        <item x="2"/>
        <item x="1"/>
        <item x="3"/>
        <item x="0"/>
        <item t="default"/>
      </items>
    </pivotField>
    <pivotField showAll="0"/>
    <pivotField dataField="1" showAll="0"/>
    <pivotField showAll="0">
      <items count="6">
        <item x="1"/>
        <item x="3"/>
        <item x="2"/>
        <item x="0"/>
        <item x="4"/>
        <item t="default"/>
      </items>
    </pivotField>
    <pivotField showAll="0">
      <items count="3">
        <item x="0"/>
        <item x="1"/>
        <item t="default"/>
      </items>
    </pivotField>
    <pivotField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s>
  <rowFields count="1">
    <field x="12"/>
  </rowFields>
  <rowItems count="2">
    <i>
      <x/>
    </i>
    <i>
      <x v="1"/>
    </i>
  </rowItems>
  <colItems count="1">
    <i/>
  </colItems>
  <dataFields count="1">
    <dataField name="Total" fld="4" baseField="0" baseItem="0" numFmtId="164"/>
  </dataFields>
  <formats count="5">
    <format dxfId="2347">
      <pivotArea dataOnly="0" outline="0" axis="axisValues" fieldPosition="0"/>
    </format>
    <format dxfId="2346">
      <pivotArea dataOnly="0" outline="0" axis="axisValues" fieldPosition="0"/>
    </format>
    <format dxfId="2345">
      <pivotArea field="12" type="button" dataOnly="0" labelOnly="1" outline="0" axis="axisRow" fieldPosition="0"/>
    </format>
    <format dxfId="2344">
      <pivotArea field="12" type="button" dataOnly="0" labelOnly="1" outline="0" axis="axisRow" fieldPosition="0"/>
    </format>
    <format dxfId="23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684D57-7C24-483B-8AAE-50CA831C066A}" name="PivotTable5"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Categoría">
  <location ref="A22:B27" firstHeaderRow="1" firstDataRow="1" firstDataCol="1"/>
  <pivotFields count="13">
    <pivotField showAll="0"/>
    <pivotField numFmtId="14" showAll="0"/>
    <pivotField axis="axisRow" showAll="0"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6">
        <item x="1"/>
        <item x="3"/>
        <item x="2"/>
        <item x="0"/>
        <item x="4"/>
        <item t="default"/>
      </items>
    </pivotField>
    <pivotField showAll="0">
      <items count="3">
        <item x="0"/>
        <item x="1"/>
        <item t="default"/>
      </items>
    </pivotField>
    <pivotField showAll="0"/>
    <pivotField showAll="0"/>
    <pivotField showAll="0"/>
    <pivotField showAll="0"/>
    <pivotField showAll="0"/>
    <pivotField showAll="0"/>
  </pivotFields>
  <rowFields count="1">
    <field x="2"/>
  </rowFields>
  <rowItems count="5">
    <i>
      <x v="3"/>
    </i>
    <i>
      <x v="4"/>
    </i>
    <i>
      <x/>
    </i>
    <i>
      <x v="2"/>
    </i>
    <i>
      <x v="1"/>
    </i>
  </rowItems>
  <colItems count="1">
    <i/>
  </colItems>
  <dataFields count="1">
    <dataField name="Total" fld="4" baseField="1" baseItem="1" numFmtId="44"/>
  </dataFields>
  <formats count="5">
    <format dxfId="2352">
      <pivotArea outline="0" collapsedLevelsAreSubtotals="1" fieldPosition="0"/>
    </format>
    <format dxfId="2351">
      <pivotArea dataOnly="0" labelOnly="1" outline="0" axis="axisValues" fieldPosition="0"/>
    </format>
    <format dxfId="2350">
      <pivotArea dataOnly="0" labelOnly="1" outline="0" axis="axisValues" fieldPosition="0"/>
    </format>
    <format dxfId="2349">
      <pivotArea field="2" type="button" dataOnly="0" labelOnly="1" outline="0" axis="axisRow" fieldPosition="0"/>
    </format>
    <format dxfId="2348">
      <pivotArea field="2" type="button" dataOnly="0" labelOnly="1" outline="0" axis="axisRow" fieldPosition="0"/>
    </format>
  </format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4"/>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8E3357-CCA2-484D-B1F0-1C324356E3D3}" name="PivotTable8" cacheId="9" applyNumberFormats="0" applyBorderFormats="0" applyFontFormats="0" applyPatternFormats="0" applyAlignmentFormats="0" applyWidthHeightFormats="1" dataCaption="Values" updatedVersion="8" minRefreshableVersion="3" useAutoFormatting="1" colGrandTotals="0" itemPrintTitles="1" createdVersion="8" indent="0" compact="0" outline="1" outlineData="1" compactData="0" multipleFieldFilters="0" rowHeaderCaption="Año_MES">
  <location ref="A32:C46" firstHeaderRow="1" firstDataRow="2" firstDataCol="1"/>
  <pivotFields count="13">
    <pivotField compact="0" subtotalTop="0" showAll="0" defaultSubtotal="0"/>
    <pivotField compact="0" numFmtId="14" showAll="0" defaultSubtotal="0"/>
    <pivotField compact="0" showAll="0" defaultSubtotal="0">
      <items count="5">
        <item x="4"/>
        <item x="2"/>
        <item x="1"/>
        <item x="3"/>
        <item x="0"/>
      </items>
    </pivotField>
    <pivotField compact="0" showAll="0" defaultSubtotal="0"/>
    <pivotField dataField="1" compact="0" showAll="0" defaultSubtotal="0"/>
    <pivotField compact="0" showAll="0" defaultSubtotal="0">
      <items count="5">
        <item x="1"/>
        <item x="3"/>
        <item x="2"/>
        <item x="0"/>
        <item x="4"/>
      </items>
    </pivotField>
    <pivotField axis="axisCol" compact="0" showAll="0" defaultSubtotal="0">
      <items count="2">
        <item n="Gasto sin cuotas" x="0"/>
        <item n="Gasto en cuotas" x="1"/>
      </items>
    </pivotField>
    <pivotField compact="0" showAll="0" defaultSubtotal="0"/>
    <pivotField compact="0" showAll="0" defaultSubtotal="0"/>
    <pivotField compact="0" showAll="0" defaultSubtotal="0"/>
    <pivotField axis="axisRow" compact="0" showAll="0" defaultSubtotal="0">
      <items count="12">
        <item x="0"/>
        <item x="1"/>
        <item x="2"/>
        <item x="3"/>
        <item x="4"/>
        <item x="5"/>
        <item x="6"/>
        <item x="7"/>
        <item x="8"/>
        <item x="9"/>
        <item x="10"/>
        <item x="11"/>
      </items>
    </pivotField>
    <pivotField compact="0" showAll="0" sortType="ascending" defaultSubtotal="0"/>
    <pivotField compact="0" showAll="0" defaultSubtotal="0"/>
  </pivotFields>
  <rowFields count="1">
    <field x="10"/>
  </rowFields>
  <rowItems count="13">
    <i>
      <x/>
    </i>
    <i>
      <x v="1"/>
    </i>
    <i>
      <x v="2"/>
    </i>
    <i>
      <x v="3"/>
    </i>
    <i>
      <x v="4"/>
    </i>
    <i>
      <x v="5"/>
    </i>
    <i>
      <x v="6"/>
    </i>
    <i>
      <x v="7"/>
    </i>
    <i>
      <x v="8"/>
    </i>
    <i>
      <x v="9"/>
    </i>
    <i>
      <x v="10"/>
    </i>
    <i>
      <x v="11"/>
    </i>
    <i t="grand">
      <x/>
    </i>
  </rowItems>
  <colFields count="1">
    <field x="6"/>
  </colFields>
  <colItems count="2">
    <i>
      <x/>
    </i>
    <i>
      <x v="1"/>
    </i>
  </colItems>
  <dataFields count="1">
    <dataField name="Gasto ($)" fld="4" baseField="10" baseItem="0" numFmtId="164"/>
  </dataFields>
  <formats count="6">
    <format dxfId="1115">
      <pivotArea outline="0" collapsedLevelsAreSubtotals="1" fieldPosition="0"/>
    </format>
    <format dxfId="1116">
      <pivotArea outline="0" collapsedLevelsAreSubtotals="1" fieldPosition="0"/>
    </format>
    <format dxfId="1117">
      <pivotArea outline="0" collapsedLevelsAreSubtotals="1" fieldPosition="0"/>
    </format>
    <format dxfId="1118">
      <pivotArea field="6" dataOnly="0" labelOnly="1" grandCol="1" outline="0" axis="axisCol" fieldPosition="0">
        <references count="1">
          <reference field="4294967294" count="1" selected="0">
            <x v="0"/>
          </reference>
        </references>
      </pivotArea>
    </format>
    <format dxfId="1119">
      <pivotArea dataOnly="0" labelOnly="1" outline="0" fieldPosition="0">
        <references count="1">
          <reference field="6" count="0"/>
        </references>
      </pivotArea>
    </format>
    <format dxfId="11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5736F4-2A53-42CC-BF23-E6174DF6A694}" name="PivotTable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ño_mes">
  <location ref="E2:J15" firstHeaderRow="1" firstDataRow="2" firstDataCol="1"/>
  <pivotFields count="13">
    <pivotField subtotalTop="0" showAll="0" defaultSubtotal="0"/>
    <pivotField numFmtId="14" showAll="0" defaultSubtotal="0"/>
    <pivotField axis="axisCol" showAll="0" sortType="descending" defaultSubtotal="0">
      <items count="5">
        <item x="4"/>
        <item x="2"/>
        <item x="1"/>
        <item x="3"/>
        <item x="0"/>
      </items>
      <autoSortScope>
        <pivotArea dataOnly="0" outline="0" fieldPosition="0">
          <references count="1">
            <reference field="4294967294" count="1" selected="0">
              <x v="0"/>
            </reference>
          </references>
        </pivotArea>
      </autoSortScope>
    </pivotField>
    <pivotField showAll="0" defaultSubtotal="0"/>
    <pivotField dataField="1" showAll="0" defaultSubtotal="0"/>
    <pivotField showAll="0" defaultSubtotal="0">
      <items count="5">
        <item x="1"/>
        <item x="3"/>
        <item x="2"/>
        <item x="0"/>
        <item x="4"/>
      </items>
    </pivotField>
    <pivotField showAll="0" defaultSubtotal="0">
      <items count="2">
        <item x="0"/>
        <item x="1"/>
      </items>
    </pivotField>
    <pivotField showAll="0" defaultSubtotal="0"/>
    <pivotField showAll="0" defaultSubtotal="0"/>
    <pivotField showAll="0" defaultSubtotal="0"/>
    <pivotField axis="axisRow" showAll="0" defaultSubtotal="0">
      <items count="12">
        <item x="0"/>
        <item x="1"/>
        <item x="2"/>
        <item x="3"/>
        <item x="4"/>
        <item x="5"/>
        <item x="6"/>
        <item x="7"/>
        <item x="8"/>
        <item x="9"/>
        <item x="10"/>
        <item x="11"/>
      </items>
    </pivotField>
    <pivotField showAll="0" sortType="descending" defaultSubtotal="0">
      <items count="13">
        <item x="0"/>
        <item x="9"/>
        <item x="10"/>
        <item x="11"/>
        <item x="1"/>
        <item x="2"/>
        <item x="3"/>
        <item x="4"/>
        <item x="5"/>
        <item x="6"/>
        <item x="7"/>
        <item x="8"/>
        <item m="1" x="12"/>
      </items>
      <autoSortScope>
        <pivotArea dataOnly="0" outline="0" fieldPosition="0">
          <references count="2">
            <reference field="4294967294" count="1" selected="0">
              <x v="0"/>
            </reference>
            <reference field="2" count="1" selected="0">
              <x v="1"/>
            </reference>
          </references>
        </pivotArea>
      </autoSortScope>
    </pivotField>
    <pivotField showAll="0" defaultSubtotal="0"/>
  </pivotFields>
  <rowFields count="1">
    <field x="10"/>
  </rowFields>
  <rowItems count="12">
    <i>
      <x/>
    </i>
    <i>
      <x v="1"/>
    </i>
    <i>
      <x v="2"/>
    </i>
    <i>
      <x v="3"/>
    </i>
    <i>
      <x v="4"/>
    </i>
    <i>
      <x v="5"/>
    </i>
    <i>
      <x v="6"/>
    </i>
    <i>
      <x v="7"/>
    </i>
    <i>
      <x v="8"/>
    </i>
    <i>
      <x v="9"/>
    </i>
    <i>
      <x v="10"/>
    </i>
    <i>
      <x v="11"/>
    </i>
  </rowItems>
  <colFields count="1">
    <field x="2"/>
  </colFields>
  <colItems count="5">
    <i>
      <x v="1"/>
    </i>
    <i>
      <x v="2"/>
    </i>
    <i>
      <x/>
    </i>
    <i>
      <x v="4"/>
    </i>
    <i>
      <x v="3"/>
    </i>
  </colItems>
  <dataFields count="1">
    <dataField name="Total" fld="4" baseField="0" baseItem="0" numFmtId="164"/>
  </dataFields>
  <formats count="8">
    <format dxfId="2360">
      <pivotArea outline="0" collapsedLevelsAreSubtotals="1" fieldPosition="0"/>
    </format>
    <format dxfId="2359">
      <pivotArea outline="0" collapsedLevelsAreSubtotals="1" fieldPosition="0"/>
    </format>
    <format dxfId="2358">
      <pivotArea outline="0" collapsedLevelsAreSubtotals="1" fieldPosition="0"/>
    </format>
    <format dxfId="2357">
      <pivotArea field="11" type="button" dataOnly="0" labelOnly="1" outline="0"/>
    </format>
    <format dxfId="2356">
      <pivotArea type="origin" dataOnly="0" labelOnly="1" outline="0" fieldPosition="0"/>
    </format>
    <format dxfId="2355">
      <pivotArea field="11" type="button" dataOnly="0" labelOnly="1" outline="0"/>
    </format>
    <format dxfId="2354">
      <pivotArea type="origin" dataOnly="0" labelOnly="1" outline="0" fieldPosition="0"/>
    </format>
    <format dxfId="23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B41AC2-FDFE-437E-8828-55597D07178B}"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Año_mes">
  <location ref="A2:B14" firstHeaderRow="1" firstDataRow="1" firstDataCol="1"/>
  <pivotFields count="13">
    <pivotField subtotalTop="0" showAll="0" defaultSubtotal="0"/>
    <pivotField numFmtId="14" showAll="0" defaultSubtotal="0"/>
    <pivotField showAll="0" defaultSubtotal="0">
      <items count="5">
        <item x="4"/>
        <item x="2"/>
        <item x="1"/>
        <item x="3"/>
        <item x="0"/>
      </items>
    </pivotField>
    <pivotField showAll="0" defaultSubtotal="0"/>
    <pivotField dataField="1" showAll="0" defaultSubtotal="0"/>
    <pivotField showAll="0" defaultSubtotal="0">
      <items count="5">
        <item x="1"/>
        <item x="3"/>
        <item x="2"/>
        <item x="0"/>
        <item x="4"/>
      </items>
    </pivotField>
    <pivotField showAll="0" defaultSubtotal="0">
      <items count="2">
        <item x="0"/>
        <item x="1"/>
      </items>
    </pivotField>
    <pivotField showAll="0" defaultSubtotal="0"/>
    <pivotField showAll="0" defaultSubtotal="0"/>
    <pivotField showAll="0" defaultSubtotal="0"/>
    <pivotField axis="axisRow" showAll="0" defaultSubtotal="0">
      <items count="12">
        <item x="0"/>
        <item x="1"/>
        <item x="2"/>
        <item x="3"/>
        <item x="4"/>
        <item x="5"/>
        <item x="6"/>
        <item x="7"/>
        <item x="8"/>
        <item x="9"/>
        <item x="10"/>
        <item x="11"/>
      </items>
    </pivotField>
    <pivotField showAll="0" sortType="descending" defaultSubtotal="0">
      <items count="13">
        <item m="1" x="12"/>
        <item x="8"/>
        <item x="7"/>
        <item x="6"/>
        <item x="5"/>
        <item x="4"/>
        <item x="3"/>
        <item x="2"/>
        <item x="1"/>
        <item x="11"/>
        <item x="10"/>
        <item x="9"/>
        <item x="0"/>
      </items>
    </pivotField>
    <pivotField showAll="0" defaultSubtotal="0"/>
  </pivotFields>
  <rowFields count="1">
    <field x="10"/>
  </rowFields>
  <rowItems count="12">
    <i>
      <x/>
    </i>
    <i>
      <x v="1"/>
    </i>
    <i>
      <x v="2"/>
    </i>
    <i>
      <x v="3"/>
    </i>
    <i>
      <x v="4"/>
    </i>
    <i>
      <x v="5"/>
    </i>
    <i>
      <x v="6"/>
    </i>
    <i>
      <x v="7"/>
    </i>
    <i>
      <x v="8"/>
    </i>
    <i>
      <x v="9"/>
    </i>
    <i>
      <x v="10"/>
    </i>
    <i>
      <x v="11"/>
    </i>
  </rowItems>
  <colItems count="1">
    <i/>
  </colItems>
  <dataFields count="1">
    <dataField name="Total" fld="4" baseField="10" baseItem="11" numFmtId="164"/>
  </dataFields>
  <formats count="5">
    <format dxfId="2365">
      <pivotArea dataOnly="0" labelOnly="1" outline="0" axis="axisValues" fieldPosition="0"/>
    </format>
    <format dxfId="2364">
      <pivotArea dataOnly="0" labelOnly="1" outline="0" axis="axisValues" fieldPosition="0"/>
    </format>
    <format dxfId="2363">
      <pivotArea field="11" type="button" dataOnly="0" labelOnly="1" outline="0"/>
    </format>
    <format dxfId="2362">
      <pivotArea field="11" type="button" dataOnly="0" labelOnly="1" outline="0"/>
    </format>
    <format dxfId="236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29BA34-53DA-4ACA-B110-22CD736328A0}" autoFormatId="16" applyNumberFormats="0" applyBorderFormats="0" applyFontFormats="0" applyPatternFormats="0" applyAlignmentFormats="0" applyWidthHeightFormats="0">
  <queryTableRefresh nextId="17">
    <queryTableFields count="13">
      <queryTableField id="15" name="Index" tableColumnId="6"/>
      <queryTableField id="1" name="Fecha" tableColumnId="1"/>
      <queryTableField id="2" name="Categoría" tableColumnId="2"/>
      <queryTableField id="3" name="Descripción" tableColumnId="3"/>
      <queryTableField id="4" name="Monto" tableColumnId="4"/>
      <queryTableField id="5" name="Medio de pago" tableColumnId="5"/>
      <queryTableField id="9" name="En cuotas" tableColumnId="9"/>
      <queryTableField id="7" name="N° cuota" tableColumnId="7"/>
      <queryTableField id="8" name="Total cuotas" tableColumnId="8"/>
      <queryTableField id="10" name="Año" tableColumnId="10"/>
      <queryTableField id="11" name="Mes" tableColumnId="11"/>
      <queryTableField id="12" name="Año_mes" tableColumnId="12"/>
      <queryTableField id="13" name="Tipo de gasto"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ía" xr10:uid="{10537E6F-ACF3-43A1-AC7D-20041C3B0978}" sourceName="Categoría">
  <pivotTables>
    <pivotTable tabId="4" name="PivotTable3"/>
    <pivotTable tabId="4" name="PivotTable4"/>
    <pivotTable tabId="4" name="PivotTable6"/>
    <pivotTable tabId="4" name="PivotTable7"/>
    <pivotTable tabId="4" name="PivotTable8"/>
  </pivotTables>
  <data>
    <tabular pivotCacheId="93925279">
      <items count="5">
        <i x="4"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o_de_pago" xr10:uid="{E3C244CB-1B6E-409E-BD60-9A4D98A35840}" sourceName="Medio de pago">
  <pivotTables>
    <pivotTable tabId="4" name="PivotTable3"/>
    <pivotTable tabId="4" name="PivotTable4"/>
    <pivotTable tabId="4" name="PivotTable5"/>
    <pivotTable tabId="4" name="PivotTable6"/>
    <pivotTable tabId="4" name="PivotTable7"/>
    <pivotTable tabId="4" name="PivotTable8"/>
  </pivotTables>
  <data>
    <tabular pivotCacheId="93925279">
      <items count="5">
        <i x="1"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_cuotas" xr10:uid="{40433DCC-734E-4069-A173-E7448FC38B32}" sourceName="En cuotas">
  <pivotTables>
    <pivotTable tabId="4" name="PivotTable3"/>
    <pivotTable tabId="4" name="PivotTable4"/>
    <pivotTable tabId="4" name="PivotTable5"/>
    <pivotTable tabId="4" name="PivotTable6"/>
    <pivotTable tabId="4" name="PivotTable7"/>
    <pivotTable tabId="4" name="PivotTable8"/>
  </pivotTables>
  <data>
    <tabular pivotCacheId="939252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ía" xr10:uid="{FA2E4E70-5683-4C1C-9303-6F54E752ADEF}" cache="Slicer_Categoría" caption="Categoría" rowHeight="257175"/>
  <slicer name="Medio de pago" xr10:uid="{09B78B36-2401-42B0-BAB4-8992933BF38F}" cache="Slicer_Medio_de_pago" caption="Medio de pago" rowHeight="257175"/>
  <slicer name="En cuotas" xr10:uid="{24425DE4-4C6E-4279-A156-2F99F294DDA2}" cache="Slicer_En_cuotas" caption="En cuota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1647AF-14F5-4A93-AA9C-EFDAC4B7B4B7}" name="gastos_2025" displayName="gastos_2025" ref="A1:M135" tableType="queryTable" totalsRowShown="0">
  <autoFilter ref="A1:M135" xr:uid="{911647AF-14F5-4A93-AA9C-EFDAC4B7B4B7}"/>
  <tableColumns count="13">
    <tableColumn id="6" xr3:uid="{3258DA2C-8CF8-47E0-8090-38E348CCDDA6}" uniqueName="6" name="Index" queryTableFieldId="15" dataDxfId="2371"/>
    <tableColumn id="1" xr3:uid="{39C8D6BA-E53F-4B2F-9FD7-A1D5672623AD}" uniqueName="1" name="Fecha" queryTableFieldId="1" dataDxfId="1988"/>
    <tableColumn id="2" xr3:uid="{75EB33A5-4D8F-4A8F-90F0-2627BA89495F}" uniqueName="2" name="Categoría" queryTableFieldId="2" dataDxfId="2370"/>
    <tableColumn id="3" xr3:uid="{EA3FBB04-2EE3-4B9B-93EF-6365FE37591E}" uniqueName="3" name="Descripción" queryTableFieldId="3" dataDxfId="2369"/>
    <tableColumn id="4" xr3:uid="{96DD543F-9E85-42DF-8E86-A57E9231DB77}" uniqueName="4" name="Monto" queryTableFieldId="4"/>
    <tableColumn id="5" xr3:uid="{B89D6570-88B5-421C-A7B5-3910C4583283}" uniqueName="5" name="Medio de pago" queryTableFieldId="5" dataDxfId="2368"/>
    <tableColumn id="9" xr3:uid="{8DA90F3D-0FB1-44FF-91B1-F8278C725726}" uniqueName="9" name="En cuotas" queryTableFieldId="9" dataDxfId="2367"/>
    <tableColumn id="7" xr3:uid="{4BF5E075-36C5-4FC8-98A9-71469B3DF8D4}" uniqueName="7" name="N° cuota" queryTableFieldId="7"/>
    <tableColumn id="8" xr3:uid="{8401B346-1392-4A2D-9621-616B956748F9}" uniqueName="8" name="Total cuotas" queryTableFieldId="8"/>
    <tableColumn id="10" xr3:uid="{998AD1A9-7DE6-4ADD-8464-BBD311C853B9}" uniqueName="10" name="Año" queryTableFieldId="10"/>
    <tableColumn id="11" xr3:uid="{4398E251-1402-4068-8D04-58CB776CC4E7}" uniqueName="11" name="Mes" queryTableFieldId="11"/>
    <tableColumn id="12" xr3:uid="{1AA5834C-358F-4780-A811-BF52EE20BC03}" uniqueName="12" name="Año_mes" queryTableFieldId="12" dataDxfId="2366"/>
    <tableColumn id="13" xr3:uid="{C72B8757-A84A-49A8-8D82-9ECD89CBD1EB}" uniqueName="13" name="Tipo de gasto"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66210-89F3-4596-819E-6248F23AB158}">
  <dimension ref="A1:M135"/>
  <sheetViews>
    <sheetView topLeftCell="A21" workbookViewId="0">
      <selection activeCell="F31" sqref="F31"/>
    </sheetView>
  </sheetViews>
  <sheetFormatPr defaultRowHeight="15" x14ac:dyDescent="0.25"/>
  <cols>
    <col min="1" max="1" width="8.28515625" bestFit="1" customWidth="1"/>
    <col min="2" max="2" width="10.42578125" bestFit="1" customWidth="1"/>
    <col min="3" max="3" width="14" bestFit="1" customWidth="1"/>
    <col min="4" max="4" width="19.140625" bestFit="1" customWidth="1"/>
    <col min="5" max="5" width="9" bestFit="1" customWidth="1"/>
    <col min="6" max="6" width="17.5703125" bestFit="1" customWidth="1"/>
    <col min="7" max="7" width="12" bestFit="1" customWidth="1"/>
    <col min="8" max="8" width="11" bestFit="1" customWidth="1"/>
    <col min="9" max="9" width="14.140625" bestFit="1" customWidth="1"/>
    <col min="10" max="10" width="6.7109375" bestFit="1" customWidth="1"/>
    <col min="11" max="11" width="7" bestFit="1" customWidth="1"/>
    <col min="12" max="12" width="11.42578125" bestFit="1" customWidth="1"/>
    <col min="13" max="13" width="15.140625" customWidth="1"/>
    <col min="14" max="14" width="14.140625" bestFit="1" customWidth="1"/>
  </cols>
  <sheetData>
    <row r="1" spans="1:13" x14ac:dyDescent="0.25">
      <c r="A1" t="s">
        <v>89</v>
      </c>
      <c r="B1" t="s">
        <v>0</v>
      </c>
      <c r="C1" t="s">
        <v>1</v>
      </c>
      <c r="D1" t="s">
        <v>2</v>
      </c>
      <c r="E1" t="s">
        <v>3</v>
      </c>
      <c r="F1" t="s">
        <v>4</v>
      </c>
      <c r="G1" t="s">
        <v>43</v>
      </c>
      <c r="H1" t="s">
        <v>5</v>
      </c>
      <c r="I1" t="s">
        <v>6</v>
      </c>
      <c r="J1" t="s">
        <v>44</v>
      </c>
      <c r="K1" t="s">
        <v>45</v>
      </c>
      <c r="L1" t="s">
        <v>46</v>
      </c>
      <c r="M1" t="s">
        <v>47</v>
      </c>
    </row>
    <row r="2" spans="1:13" x14ac:dyDescent="0.25">
      <c r="A2">
        <v>0</v>
      </c>
      <c r="B2" s="1">
        <v>45658</v>
      </c>
      <c r="C2" t="s">
        <v>7</v>
      </c>
      <c r="D2" t="s">
        <v>8</v>
      </c>
      <c r="E2">
        <v>10000</v>
      </c>
      <c r="F2" t="s">
        <v>9</v>
      </c>
      <c r="G2" t="s">
        <v>10</v>
      </c>
      <c r="J2">
        <v>2025</v>
      </c>
      <c r="K2">
        <v>1</v>
      </c>
      <c r="L2" t="s">
        <v>48</v>
      </c>
      <c r="M2" t="s">
        <v>49</v>
      </c>
    </row>
    <row r="3" spans="1:13" x14ac:dyDescent="0.25">
      <c r="A3">
        <v>1</v>
      </c>
      <c r="B3" s="1">
        <v>45662</v>
      </c>
      <c r="C3" t="s">
        <v>11</v>
      </c>
      <c r="D3" t="s">
        <v>12</v>
      </c>
      <c r="E3">
        <v>11641</v>
      </c>
      <c r="F3" t="s">
        <v>13</v>
      </c>
      <c r="G3" t="s">
        <v>10</v>
      </c>
      <c r="J3">
        <v>2025</v>
      </c>
      <c r="K3">
        <v>1</v>
      </c>
      <c r="L3" t="s">
        <v>48</v>
      </c>
      <c r="M3" t="s">
        <v>50</v>
      </c>
    </row>
    <row r="4" spans="1:13" x14ac:dyDescent="0.25">
      <c r="A4">
        <v>2</v>
      </c>
      <c r="B4" s="1">
        <v>45663</v>
      </c>
      <c r="C4" t="s">
        <v>14</v>
      </c>
      <c r="D4" t="s">
        <v>15</v>
      </c>
      <c r="E4">
        <v>36546.44</v>
      </c>
      <c r="F4" t="s">
        <v>16</v>
      </c>
      <c r="G4" t="s">
        <v>17</v>
      </c>
      <c r="H4">
        <v>1</v>
      </c>
      <c r="I4">
        <v>6</v>
      </c>
      <c r="J4">
        <v>2025</v>
      </c>
      <c r="K4">
        <v>1</v>
      </c>
      <c r="L4" t="s">
        <v>48</v>
      </c>
      <c r="M4" t="s">
        <v>50</v>
      </c>
    </row>
    <row r="5" spans="1:13" x14ac:dyDescent="0.25">
      <c r="A5">
        <v>3</v>
      </c>
      <c r="B5" s="1">
        <v>45663</v>
      </c>
      <c r="C5" t="s">
        <v>18</v>
      </c>
      <c r="D5" t="s">
        <v>19</v>
      </c>
      <c r="E5">
        <v>16380.76</v>
      </c>
      <c r="F5" t="s">
        <v>20</v>
      </c>
      <c r="G5" t="s">
        <v>10</v>
      </c>
      <c r="J5">
        <v>2025</v>
      </c>
      <c r="K5">
        <v>1</v>
      </c>
      <c r="L5" t="s">
        <v>48</v>
      </c>
      <c r="M5" t="s">
        <v>49</v>
      </c>
    </row>
    <row r="6" spans="1:13" x14ac:dyDescent="0.25">
      <c r="A6">
        <v>4</v>
      </c>
      <c r="B6" s="1">
        <v>45663</v>
      </c>
      <c r="C6" t="s">
        <v>11</v>
      </c>
      <c r="D6" t="s">
        <v>21</v>
      </c>
      <c r="E6">
        <v>17681</v>
      </c>
      <c r="F6" t="s">
        <v>13</v>
      </c>
      <c r="G6" t="s">
        <v>10</v>
      </c>
      <c r="J6">
        <v>2025</v>
      </c>
      <c r="K6">
        <v>1</v>
      </c>
      <c r="L6" t="s">
        <v>48</v>
      </c>
      <c r="M6" t="s">
        <v>50</v>
      </c>
    </row>
    <row r="7" spans="1:13" x14ac:dyDescent="0.25">
      <c r="A7">
        <v>5</v>
      </c>
      <c r="B7" s="1">
        <v>45664</v>
      </c>
      <c r="C7" t="s">
        <v>11</v>
      </c>
      <c r="D7" t="s">
        <v>22</v>
      </c>
      <c r="E7">
        <v>22516</v>
      </c>
      <c r="F7" t="s">
        <v>13</v>
      </c>
      <c r="G7" t="s">
        <v>10</v>
      </c>
      <c r="J7">
        <v>2025</v>
      </c>
      <c r="K7">
        <v>1</v>
      </c>
      <c r="L7" t="s">
        <v>48</v>
      </c>
      <c r="M7" t="s">
        <v>50</v>
      </c>
    </row>
    <row r="8" spans="1:13" x14ac:dyDescent="0.25">
      <c r="A8">
        <v>6</v>
      </c>
      <c r="B8" s="1">
        <v>45665</v>
      </c>
      <c r="C8" t="s">
        <v>11</v>
      </c>
      <c r="D8" t="s">
        <v>23</v>
      </c>
      <c r="E8">
        <v>49869</v>
      </c>
      <c r="F8" t="s">
        <v>13</v>
      </c>
      <c r="G8" t="s">
        <v>10</v>
      </c>
      <c r="J8">
        <v>2025</v>
      </c>
      <c r="K8">
        <v>1</v>
      </c>
      <c r="L8" t="s">
        <v>48</v>
      </c>
      <c r="M8" t="s">
        <v>50</v>
      </c>
    </row>
    <row r="9" spans="1:13" x14ac:dyDescent="0.25">
      <c r="A9">
        <v>7</v>
      </c>
      <c r="B9" s="1">
        <v>45666</v>
      </c>
      <c r="C9" t="s">
        <v>11</v>
      </c>
      <c r="D9" t="s">
        <v>24</v>
      </c>
      <c r="E9">
        <v>8400</v>
      </c>
      <c r="F9" t="s">
        <v>13</v>
      </c>
      <c r="G9" t="s">
        <v>10</v>
      </c>
      <c r="J9">
        <v>2025</v>
      </c>
      <c r="K9">
        <v>1</v>
      </c>
      <c r="L9" t="s">
        <v>48</v>
      </c>
      <c r="M9" t="s">
        <v>50</v>
      </c>
    </row>
    <row r="10" spans="1:13" x14ac:dyDescent="0.25">
      <c r="A10">
        <v>8</v>
      </c>
      <c r="B10" s="1">
        <v>45672</v>
      </c>
      <c r="C10" t="s">
        <v>7</v>
      </c>
      <c r="D10" t="s">
        <v>25</v>
      </c>
      <c r="E10">
        <v>7100</v>
      </c>
      <c r="F10" t="s">
        <v>16</v>
      </c>
      <c r="G10" t="s">
        <v>10</v>
      </c>
      <c r="J10">
        <v>2025</v>
      </c>
      <c r="K10">
        <v>1</v>
      </c>
      <c r="L10" t="s">
        <v>48</v>
      </c>
      <c r="M10" t="s">
        <v>49</v>
      </c>
    </row>
    <row r="11" spans="1:13" x14ac:dyDescent="0.25">
      <c r="A11">
        <v>9</v>
      </c>
      <c r="B11" s="1">
        <v>45675</v>
      </c>
      <c r="C11" t="s">
        <v>26</v>
      </c>
      <c r="D11" t="s">
        <v>27</v>
      </c>
      <c r="E11">
        <v>36000</v>
      </c>
      <c r="F11" t="s">
        <v>16</v>
      </c>
      <c r="G11" t="s">
        <v>10</v>
      </c>
      <c r="J11">
        <v>2025</v>
      </c>
      <c r="K11">
        <v>1</v>
      </c>
      <c r="L11" t="s">
        <v>48</v>
      </c>
      <c r="M11" t="s">
        <v>49</v>
      </c>
    </row>
    <row r="12" spans="1:13" x14ac:dyDescent="0.25">
      <c r="A12">
        <v>10</v>
      </c>
      <c r="B12" s="1">
        <v>45679</v>
      </c>
      <c r="C12" t="s">
        <v>14</v>
      </c>
      <c r="D12" t="s">
        <v>28</v>
      </c>
      <c r="E12">
        <v>19426</v>
      </c>
      <c r="F12" t="s">
        <v>16</v>
      </c>
      <c r="G12" t="s">
        <v>17</v>
      </c>
      <c r="H12">
        <v>1</v>
      </c>
      <c r="I12">
        <v>3</v>
      </c>
      <c r="J12">
        <v>2025</v>
      </c>
      <c r="K12">
        <v>1</v>
      </c>
      <c r="L12" t="s">
        <v>48</v>
      </c>
      <c r="M12" t="s">
        <v>50</v>
      </c>
    </row>
    <row r="13" spans="1:13" x14ac:dyDescent="0.25">
      <c r="A13">
        <v>11</v>
      </c>
      <c r="B13" s="1">
        <v>45689</v>
      </c>
      <c r="C13" t="s">
        <v>7</v>
      </c>
      <c r="D13" t="s">
        <v>8</v>
      </c>
      <c r="E13">
        <v>10000</v>
      </c>
      <c r="F13" t="s">
        <v>9</v>
      </c>
      <c r="G13" t="s">
        <v>10</v>
      </c>
      <c r="J13">
        <v>2025</v>
      </c>
      <c r="K13">
        <v>2</v>
      </c>
      <c r="L13" t="s">
        <v>51</v>
      </c>
      <c r="M13" t="s">
        <v>49</v>
      </c>
    </row>
    <row r="14" spans="1:13" x14ac:dyDescent="0.25">
      <c r="A14">
        <v>12</v>
      </c>
      <c r="B14" s="1">
        <v>45693</v>
      </c>
      <c r="C14" t="s">
        <v>11</v>
      </c>
      <c r="D14" t="s">
        <v>12</v>
      </c>
      <c r="E14">
        <v>12635</v>
      </c>
      <c r="F14" t="s">
        <v>13</v>
      </c>
      <c r="G14" t="s">
        <v>10</v>
      </c>
      <c r="J14">
        <v>2025</v>
      </c>
      <c r="K14">
        <v>2</v>
      </c>
      <c r="L14" t="s">
        <v>51</v>
      </c>
      <c r="M14" t="s">
        <v>50</v>
      </c>
    </row>
    <row r="15" spans="1:13" x14ac:dyDescent="0.25">
      <c r="A15">
        <v>13</v>
      </c>
      <c r="B15" s="1">
        <v>45694</v>
      </c>
      <c r="C15" t="s">
        <v>11</v>
      </c>
      <c r="D15" t="s">
        <v>21</v>
      </c>
      <c r="E15">
        <v>14867</v>
      </c>
      <c r="F15" t="s">
        <v>13</v>
      </c>
      <c r="G15" t="s">
        <v>10</v>
      </c>
      <c r="J15">
        <v>2025</v>
      </c>
      <c r="K15">
        <v>2</v>
      </c>
      <c r="L15" t="s">
        <v>51</v>
      </c>
      <c r="M15" t="s">
        <v>50</v>
      </c>
    </row>
    <row r="16" spans="1:13" x14ac:dyDescent="0.25">
      <c r="A16">
        <v>14</v>
      </c>
      <c r="B16" s="1">
        <v>45694</v>
      </c>
      <c r="C16" t="s">
        <v>14</v>
      </c>
      <c r="D16" t="s">
        <v>15</v>
      </c>
      <c r="E16">
        <v>36546.44</v>
      </c>
      <c r="F16" t="s">
        <v>16</v>
      </c>
      <c r="G16" t="s">
        <v>17</v>
      </c>
      <c r="H16">
        <v>2</v>
      </c>
      <c r="I16">
        <v>6</v>
      </c>
      <c r="J16">
        <v>2025</v>
      </c>
      <c r="K16">
        <v>2</v>
      </c>
      <c r="L16" t="s">
        <v>51</v>
      </c>
      <c r="M16" t="s">
        <v>50</v>
      </c>
    </row>
    <row r="17" spans="1:13" x14ac:dyDescent="0.25">
      <c r="A17">
        <v>15</v>
      </c>
      <c r="B17" s="1">
        <v>45695</v>
      </c>
      <c r="C17" t="s">
        <v>11</v>
      </c>
      <c r="D17" t="s">
        <v>22</v>
      </c>
      <c r="E17">
        <v>21576</v>
      </c>
      <c r="F17" t="s">
        <v>13</v>
      </c>
      <c r="G17" t="s">
        <v>10</v>
      </c>
      <c r="J17">
        <v>2025</v>
      </c>
      <c r="K17">
        <v>2</v>
      </c>
      <c r="L17" t="s">
        <v>51</v>
      </c>
      <c r="M17" t="s">
        <v>50</v>
      </c>
    </row>
    <row r="18" spans="1:13" x14ac:dyDescent="0.25">
      <c r="A18">
        <v>16</v>
      </c>
      <c r="B18" s="1">
        <v>45696</v>
      </c>
      <c r="C18" t="s">
        <v>11</v>
      </c>
      <c r="D18" t="s">
        <v>23</v>
      </c>
      <c r="E18">
        <v>43573</v>
      </c>
      <c r="F18" t="s">
        <v>13</v>
      </c>
      <c r="G18" t="s">
        <v>10</v>
      </c>
      <c r="J18">
        <v>2025</v>
      </c>
      <c r="K18">
        <v>2</v>
      </c>
      <c r="L18" t="s">
        <v>51</v>
      </c>
      <c r="M18" t="s">
        <v>50</v>
      </c>
    </row>
    <row r="19" spans="1:13" x14ac:dyDescent="0.25">
      <c r="A19">
        <v>17</v>
      </c>
      <c r="B19" s="1">
        <v>45697</v>
      </c>
      <c r="C19" t="s">
        <v>11</v>
      </c>
      <c r="D19" t="s">
        <v>24</v>
      </c>
      <c r="E19">
        <v>8400</v>
      </c>
      <c r="F19" t="s">
        <v>13</v>
      </c>
      <c r="G19" t="s">
        <v>10</v>
      </c>
      <c r="J19">
        <v>2025</v>
      </c>
      <c r="K19">
        <v>2</v>
      </c>
      <c r="L19" t="s">
        <v>51</v>
      </c>
      <c r="M19" t="s">
        <v>50</v>
      </c>
    </row>
    <row r="20" spans="1:13" x14ac:dyDescent="0.25">
      <c r="A20">
        <v>18</v>
      </c>
      <c r="B20" s="1">
        <v>45702</v>
      </c>
      <c r="C20" t="s">
        <v>14</v>
      </c>
      <c r="D20" t="s">
        <v>29</v>
      </c>
      <c r="E20">
        <v>25678</v>
      </c>
      <c r="F20" t="s">
        <v>9</v>
      </c>
      <c r="G20" t="s">
        <v>10</v>
      </c>
      <c r="J20">
        <v>2025</v>
      </c>
      <c r="K20">
        <v>2</v>
      </c>
      <c r="L20" t="s">
        <v>51</v>
      </c>
      <c r="M20" t="s">
        <v>49</v>
      </c>
    </row>
    <row r="21" spans="1:13" x14ac:dyDescent="0.25">
      <c r="A21">
        <v>19</v>
      </c>
      <c r="B21" s="1">
        <v>45703</v>
      </c>
      <c r="C21" t="s">
        <v>7</v>
      </c>
      <c r="D21" t="s">
        <v>25</v>
      </c>
      <c r="E21">
        <v>10771</v>
      </c>
      <c r="F21" t="s">
        <v>16</v>
      </c>
      <c r="G21" t="s">
        <v>10</v>
      </c>
      <c r="J21">
        <v>2025</v>
      </c>
      <c r="K21">
        <v>2</v>
      </c>
      <c r="L21" t="s">
        <v>51</v>
      </c>
      <c r="M21" t="s">
        <v>49</v>
      </c>
    </row>
    <row r="22" spans="1:13" x14ac:dyDescent="0.25">
      <c r="A22">
        <v>20</v>
      </c>
      <c r="B22" s="1">
        <v>45710</v>
      </c>
      <c r="C22" t="s">
        <v>14</v>
      </c>
      <c r="D22" t="s">
        <v>28</v>
      </c>
      <c r="E22">
        <v>19426</v>
      </c>
      <c r="F22" t="s">
        <v>16</v>
      </c>
      <c r="G22" t="s">
        <v>17</v>
      </c>
      <c r="H22">
        <v>2</v>
      </c>
      <c r="I22">
        <v>3</v>
      </c>
      <c r="J22">
        <v>2025</v>
      </c>
      <c r="K22">
        <v>2</v>
      </c>
      <c r="L22" t="s">
        <v>51</v>
      </c>
      <c r="M22" t="s">
        <v>50</v>
      </c>
    </row>
    <row r="23" spans="1:13" x14ac:dyDescent="0.25">
      <c r="A23">
        <v>21</v>
      </c>
      <c r="B23" s="1">
        <v>45717</v>
      </c>
      <c r="C23" t="s">
        <v>7</v>
      </c>
      <c r="D23" t="s">
        <v>8</v>
      </c>
      <c r="E23">
        <v>10000</v>
      </c>
      <c r="F23" t="s">
        <v>9</v>
      </c>
      <c r="G23" t="s">
        <v>10</v>
      </c>
      <c r="J23">
        <v>2025</v>
      </c>
      <c r="K23">
        <v>3</v>
      </c>
      <c r="L23" t="s">
        <v>52</v>
      </c>
      <c r="M23" t="s">
        <v>49</v>
      </c>
    </row>
    <row r="24" spans="1:13" x14ac:dyDescent="0.25">
      <c r="A24">
        <v>22</v>
      </c>
      <c r="B24" s="1">
        <v>45718</v>
      </c>
      <c r="C24" t="s">
        <v>14</v>
      </c>
      <c r="D24" t="s">
        <v>29</v>
      </c>
      <c r="E24">
        <v>37499</v>
      </c>
      <c r="F24" t="s">
        <v>9</v>
      </c>
      <c r="G24" t="s">
        <v>10</v>
      </c>
      <c r="J24">
        <v>2025</v>
      </c>
      <c r="K24">
        <v>3</v>
      </c>
      <c r="L24" t="s">
        <v>52</v>
      </c>
      <c r="M24" t="s">
        <v>49</v>
      </c>
    </row>
    <row r="25" spans="1:13" x14ac:dyDescent="0.25">
      <c r="A25">
        <v>23</v>
      </c>
      <c r="B25" s="1">
        <v>45721</v>
      </c>
      <c r="C25" t="s">
        <v>11</v>
      </c>
      <c r="D25" t="s">
        <v>12</v>
      </c>
      <c r="E25">
        <v>11828</v>
      </c>
      <c r="F25" t="s">
        <v>13</v>
      </c>
      <c r="G25" t="s">
        <v>10</v>
      </c>
      <c r="J25">
        <v>2025</v>
      </c>
      <c r="K25">
        <v>3</v>
      </c>
      <c r="L25" t="s">
        <v>52</v>
      </c>
      <c r="M25" t="s">
        <v>50</v>
      </c>
    </row>
    <row r="26" spans="1:13" x14ac:dyDescent="0.25">
      <c r="A26">
        <v>24</v>
      </c>
      <c r="B26" s="1">
        <v>45722</v>
      </c>
      <c r="C26" t="s">
        <v>11</v>
      </c>
      <c r="D26" t="s">
        <v>21</v>
      </c>
      <c r="E26">
        <v>16796</v>
      </c>
      <c r="F26" t="s">
        <v>13</v>
      </c>
      <c r="G26" t="s">
        <v>10</v>
      </c>
      <c r="J26">
        <v>2025</v>
      </c>
      <c r="K26">
        <v>3</v>
      </c>
      <c r="L26" t="s">
        <v>52</v>
      </c>
      <c r="M26" t="s">
        <v>50</v>
      </c>
    </row>
    <row r="27" spans="1:13" x14ac:dyDescent="0.25">
      <c r="A27">
        <v>25</v>
      </c>
      <c r="B27" s="1">
        <v>45722</v>
      </c>
      <c r="C27" t="s">
        <v>14</v>
      </c>
      <c r="D27" t="s">
        <v>15</v>
      </c>
      <c r="E27">
        <v>36546.44</v>
      </c>
      <c r="F27" t="s">
        <v>16</v>
      </c>
      <c r="G27" t="s">
        <v>17</v>
      </c>
      <c r="H27">
        <v>3</v>
      </c>
      <c r="I27">
        <v>6</v>
      </c>
      <c r="J27">
        <v>2025</v>
      </c>
      <c r="K27">
        <v>3</v>
      </c>
      <c r="L27" t="s">
        <v>52</v>
      </c>
      <c r="M27" t="s">
        <v>50</v>
      </c>
    </row>
    <row r="28" spans="1:13" x14ac:dyDescent="0.25">
      <c r="A28">
        <v>26</v>
      </c>
      <c r="B28" s="1">
        <v>45723</v>
      </c>
      <c r="C28" t="s">
        <v>11</v>
      </c>
      <c r="D28" t="s">
        <v>22</v>
      </c>
      <c r="E28">
        <v>21287</v>
      </c>
      <c r="F28" t="s">
        <v>13</v>
      </c>
      <c r="G28" t="s">
        <v>10</v>
      </c>
      <c r="J28">
        <v>2025</v>
      </c>
      <c r="K28">
        <v>3</v>
      </c>
      <c r="L28" t="s">
        <v>52</v>
      </c>
      <c r="M28" t="s">
        <v>50</v>
      </c>
    </row>
    <row r="29" spans="1:13" x14ac:dyDescent="0.25">
      <c r="A29">
        <v>27</v>
      </c>
      <c r="B29" s="1">
        <v>45724</v>
      </c>
      <c r="C29" t="s">
        <v>11</v>
      </c>
      <c r="D29" t="s">
        <v>23</v>
      </c>
      <c r="E29">
        <v>44126</v>
      </c>
      <c r="F29" t="s">
        <v>13</v>
      </c>
      <c r="G29" t="s">
        <v>10</v>
      </c>
      <c r="J29">
        <v>2025</v>
      </c>
      <c r="K29">
        <v>3</v>
      </c>
      <c r="L29" t="s">
        <v>52</v>
      </c>
      <c r="M29" t="s">
        <v>50</v>
      </c>
    </row>
    <row r="30" spans="1:13" x14ac:dyDescent="0.25">
      <c r="A30">
        <v>28</v>
      </c>
      <c r="B30" s="1">
        <v>45725</v>
      </c>
      <c r="C30" t="s">
        <v>11</v>
      </c>
      <c r="D30" t="s">
        <v>24</v>
      </c>
      <c r="E30">
        <v>8400</v>
      </c>
      <c r="F30" t="s">
        <v>13</v>
      </c>
      <c r="G30" t="s">
        <v>10</v>
      </c>
      <c r="J30">
        <v>2025</v>
      </c>
      <c r="K30">
        <v>3</v>
      </c>
      <c r="L30" t="s">
        <v>52</v>
      </c>
      <c r="M30" t="s">
        <v>50</v>
      </c>
    </row>
    <row r="31" spans="1:13" x14ac:dyDescent="0.25">
      <c r="A31">
        <v>29</v>
      </c>
      <c r="B31" s="1">
        <v>45726</v>
      </c>
      <c r="C31" t="s">
        <v>26</v>
      </c>
      <c r="D31" t="s">
        <v>30</v>
      </c>
      <c r="E31">
        <v>35000</v>
      </c>
      <c r="F31" t="s">
        <v>31</v>
      </c>
      <c r="G31" t="s">
        <v>10</v>
      </c>
      <c r="J31">
        <v>2025</v>
      </c>
      <c r="K31">
        <v>3</v>
      </c>
      <c r="L31" t="s">
        <v>52</v>
      </c>
      <c r="M31" t="s">
        <v>50</v>
      </c>
    </row>
    <row r="32" spans="1:13" x14ac:dyDescent="0.25">
      <c r="A32">
        <v>30</v>
      </c>
      <c r="B32" s="1">
        <v>45729</v>
      </c>
      <c r="C32" t="s">
        <v>14</v>
      </c>
      <c r="D32" t="s">
        <v>32</v>
      </c>
      <c r="E32">
        <v>59550</v>
      </c>
      <c r="F32" t="s">
        <v>9</v>
      </c>
      <c r="G32" t="s">
        <v>10</v>
      </c>
      <c r="J32">
        <v>2025</v>
      </c>
      <c r="K32">
        <v>3</v>
      </c>
      <c r="L32" t="s">
        <v>52</v>
      </c>
      <c r="M32" t="s">
        <v>49</v>
      </c>
    </row>
    <row r="33" spans="1:13" x14ac:dyDescent="0.25">
      <c r="A33">
        <v>31</v>
      </c>
      <c r="B33" s="1">
        <v>45731</v>
      </c>
      <c r="C33" t="s">
        <v>14</v>
      </c>
      <c r="D33" t="s">
        <v>33</v>
      </c>
      <c r="E33">
        <v>29426</v>
      </c>
      <c r="F33" t="s">
        <v>9</v>
      </c>
      <c r="G33" t="s">
        <v>10</v>
      </c>
      <c r="J33">
        <v>2025</v>
      </c>
      <c r="K33">
        <v>3</v>
      </c>
      <c r="L33" t="s">
        <v>52</v>
      </c>
      <c r="M33" t="s">
        <v>49</v>
      </c>
    </row>
    <row r="34" spans="1:13" x14ac:dyDescent="0.25">
      <c r="A34">
        <v>32</v>
      </c>
      <c r="B34" s="1">
        <v>45738</v>
      </c>
      <c r="C34" t="s">
        <v>14</v>
      </c>
      <c r="D34" t="s">
        <v>28</v>
      </c>
      <c r="E34">
        <v>19426</v>
      </c>
      <c r="F34" t="s">
        <v>16</v>
      </c>
      <c r="G34" t="s">
        <v>17</v>
      </c>
      <c r="H34">
        <v>3</v>
      </c>
      <c r="I34">
        <v>3</v>
      </c>
      <c r="J34">
        <v>2025</v>
      </c>
      <c r="K34">
        <v>3</v>
      </c>
      <c r="L34" t="s">
        <v>52</v>
      </c>
      <c r="M34" t="s">
        <v>50</v>
      </c>
    </row>
    <row r="35" spans="1:13" x14ac:dyDescent="0.25">
      <c r="A35">
        <v>33</v>
      </c>
      <c r="B35" s="1">
        <v>45743</v>
      </c>
      <c r="C35" t="s">
        <v>14</v>
      </c>
      <c r="D35" t="s">
        <v>29</v>
      </c>
      <c r="E35">
        <v>110480</v>
      </c>
      <c r="F35" t="s">
        <v>9</v>
      </c>
      <c r="G35" t="s">
        <v>10</v>
      </c>
      <c r="J35">
        <v>2025</v>
      </c>
      <c r="K35">
        <v>3</v>
      </c>
      <c r="L35" t="s">
        <v>52</v>
      </c>
      <c r="M35" t="s">
        <v>49</v>
      </c>
    </row>
    <row r="36" spans="1:13" x14ac:dyDescent="0.25">
      <c r="A36">
        <v>34</v>
      </c>
      <c r="B36" s="1">
        <v>45748</v>
      </c>
      <c r="C36" t="s">
        <v>7</v>
      </c>
      <c r="D36" t="s">
        <v>8</v>
      </c>
      <c r="E36">
        <v>10000</v>
      </c>
      <c r="F36" t="s">
        <v>9</v>
      </c>
      <c r="G36" t="s">
        <v>10</v>
      </c>
      <c r="J36">
        <v>2025</v>
      </c>
      <c r="K36">
        <v>4</v>
      </c>
      <c r="L36" t="s">
        <v>53</v>
      </c>
      <c r="M36" t="s">
        <v>49</v>
      </c>
    </row>
    <row r="37" spans="1:13" x14ac:dyDescent="0.25">
      <c r="A37">
        <v>35</v>
      </c>
      <c r="B37" s="1">
        <v>45752</v>
      </c>
      <c r="C37" t="s">
        <v>11</v>
      </c>
      <c r="D37" t="s">
        <v>12</v>
      </c>
      <c r="E37">
        <v>10670</v>
      </c>
      <c r="F37" t="s">
        <v>13</v>
      </c>
      <c r="G37" t="s">
        <v>10</v>
      </c>
      <c r="J37">
        <v>2025</v>
      </c>
      <c r="K37">
        <v>4</v>
      </c>
      <c r="L37" t="s">
        <v>53</v>
      </c>
      <c r="M37" t="s">
        <v>50</v>
      </c>
    </row>
    <row r="38" spans="1:13" x14ac:dyDescent="0.25">
      <c r="A38">
        <v>36</v>
      </c>
      <c r="B38" s="1">
        <v>45753</v>
      </c>
      <c r="C38" t="s">
        <v>14</v>
      </c>
      <c r="D38" t="s">
        <v>15</v>
      </c>
      <c r="E38">
        <v>36546.44</v>
      </c>
      <c r="F38" t="s">
        <v>16</v>
      </c>
      <c r="G38" t="s">
        <v>17</v>
      </c>
      <c r="H38">
        <v>4</v>
      </c>
      <c r="I38">
        <v>6</v>
      </c>
      <c r="J38">
        <v>2025</v>
      </c>
      <c r="K38">
        <v>4</v>
      </c>
      <c r="L38" t="s">
        <v>53</v>
      </c>
      <c r="M38" t="s">
        <v>50</v>
      </c>
    </row>
    <row r="39" spans="1:13" x14ac:dyDescent="0.25">
      <c r="A39">
        <v>37</v>
      </c>
      <c r="B39" s="1">
        <v>45753</v>
      </c>
      <c r="C39" t="s">
        <v>11</v>
      </c>
      <c r="D39" t="s">
        <v>21</v>
      </c>
      <c r="E39">
        <v>19275</v>
      </c>
      <c r="F39" t="s">
        <v>13</v>
      </c>
      <c r="G39" t="s">
        <v>10</v>
      </c>
      <c r="J39">
        <v>2025</v>
      </c>
      <c r="K39">
        <v>4</v>
      </c>
      <c r="L39" t="s">
        <v>53</v>
      </c>
      <c r="M39" t="s">
        <v>50</v>
      </c>
    </row>
    <row r="40" spans="1:13" x14ac:dyDescent="0.25">
      <c r="A40">
        <v>38</v>
      </c>
      <c r="B40" s="1">
        <v>45754</v>
      </c>
      <c r="C40" t="s">
        <v>11</v>
      </c>
      <c r="D40" t="s">
        <v>22</v>
      </c>
      <c r="E40">
        <v>18739</v>
      </c>
      <c r="F40" t="s">
        <v>13</v>
      </c>
      <c r="G40" t="s">
        <v>10</v>
      </c>
      <c r="J40">
        <v>2025</v>
      </c>
      <c r="K40">
        <v>4</v>
      </c>
      <c r="L40" t="s">
        <v>53</v>
      </c>
      <c r="M40" t="s">
        <v>50</v>
      </c>
    </row>
    <row r="41" spans="1:13" x14ac:dyDescent="0.25">
      <c r="A41">
        <v>39</v>
      </c>
      <c r="B41" s="1">
        <v>45755</v>
      </c>
      <c r="C41" t="s">
        <v>11</v>
      </c>
      <c r="D41" t="s">
        <v>23</v>
      </c>
      <c r="E41">
        <v>42738</v>
      </c>
      <c r="F41" t="s">
        <v>13</v>
      </c>
      <c r="G41" t="s">
        <v>10</v>
      </c>
      <c r="J41">
        <v>2025</v>
      </c>
      <c r="K41">
        <v>4</v>
      </c>
      <c r="L41" t="s">
        <v>53</v>
      </c>
      <c r="M41" t="s">
        <v>50</v>
      </c>
    </row>
    <row r="42" spans="1:13" x14ac:dyDescent="0.25">
      <c r="A42">
        <v>40</v>
      </c>
      <c r="B42" s="1">
        <v>45755</v>
      </c>
      <c r="C42" t="s">
        <v>14</v>
      </c>
      <c r="D42" t="s">
        <v>29</v>
      </c>
      <c r="E42">
        <v>32291</v>
      </c>
      <c r="F42" t="s">
        <v>9</v>
      </c>
      <c r="G42" t="s">
        <v>10</v>
      </c>
      <c r="J42">
        <v>2025</v>
      </c>
      <c r="K42">
        <v>4</v>
      </c>
      <c r="L42" t="s">
        <v>53</v>
      </c>
      <c r="M42" t="s">
        <v>49</v>
      </c>
    </row>
    <row r="43" spans="1:13" x14ac:dyDescent="0.25">
      <c r="A43">
        <v>41</v>
      </c>
      <c r="B43" s="1">
        <v>45756</v>
      </c>
      <c r="C43" t="s">
        <v>11</v>
      </c>
      <c r="D43" t="s">
        <v>24</v>
      </c>
      <c r="E43">
        <v>9600</v>
      </c>
      <c r="F43" t="s">
        <v>13</v>
      </c>
      <c r="G43" t="s">
        <v>10</v>
      </c>
      <c r="J43">
        <v>2025</v>
      </c>
      <c r="K43">
        <v>4</v>
      </c>
      <c r="L43" t="s">
        <v>53</v>
      </c>
      <c r="M43" t="s">
        <v>50</v>
      </c>
    </row>
    <row r="44" spans="1:13" x14ac:dyDescent="0.25">
      <c r="A44">
        <v>42</v>
      </c>
      <c r="B44" s="1">
        <v>45757</v>
      </c>
      <c r="C44" t="s">
        <v>26</v>
      </c>
      <c r="D44" t="s">
        <v>30</v>
      </c>
      <c r="E44">
        <v>35000</v>
      </c>
      <c r="F44" t="s">
        <v>31</v>
      </c>
      <c r="G44" t="s">
        <v>10</v>
      </c>
      <c r="J44">
        <v>2025</v>
      </c>
      <c r="K44">
        <v>4</v>
      </c>
      <c r="L44" t="s">
        <v>53</v>
      </c>
      <c r="M44" t="s">
        <v>50</v>
      </c>
    </row>
    <row r="45" spans="1:13" x14ac:dyDescent="0.25">
      <c r="A45">
        <v>43</v>
      </c>
      <c r="B45" s="1">
        <v>45778</v>
      </c>
      <c r="C45" t="s">
        <v>7</v>
      </c>
      <c r="D45" t="s">
        <v>8</v>
      </c>
      <c r="E45">
        <v>10000</v>
      </c>
      <c r="F45" t="s">
        <v>9</v>
      </c>
      <c r="G45" t="s">
        <v>10</v>
      </c>
      <c r="J45">
        <v>2025</v>
      </c>
      <c r="K45">
        <v>5</v>
      </c>
      <c r="L45" t="s">
        <v>54</v>
      </c>
      <c r="M45" t="s">
        <v>49</v>
      </c>
    </row>
    <row r="46" spans="1:13" x14ac:dyDescent="0.25">
      <c r="A46">
        <v>44</v>
      </c>
      <c r="B46" s="1">
        <v>45782</v>
      </c>
      <c r="C46" t="s">
        <v>11</v>
      </c>
      <c r="D46" t="s">
        <v>12</v>
      </c>
      <c r="E46">
        <v>10058</v>
      </c>
      <c r="F46" t="s">
        <v>13</v>
      </c>
      <c r="G46" t="s">
        <v>10</v>
      </c>
      <c r="J46">
        <v>2025</v>
      </c>
      <c r="K46">
        <v>5</v>
      </c>
      <c r="L46" t="s">
        <v>54</v>
      </c>
      <c r="M46" t="s">
        <v>50</v>
      </c>
    </row>
    <row r="47" spans="1:13" x14ac:dyDescent="0.25">
      <c r="A47">
        <v>45</v>
      </c>
      <c r="B47" s="1">
        <v>45783</v>
      </c>
      <c r="C47" t="s">
        <v>14</v>
      </c>
      <c r="D47" t="s">
        <v>15</v>
      </c>
      <c r="E47">
        <v>36546.44</v>
      </c>
      <c r="F47" t="s">
        <v>16</v>
      </c>
      <c r="G47" t="s">
        <v>17</v>
      </c>
      <c r="H47">
        <v>5</v>
      </c>
      <c r="I47">
        <v>6</v>
      </c>
      <c r="J47">
        <v>2025</v>
      </c>
      <c r="K47">
        <v>5</v>
      </c>
      <c r="L47" t="s">
        <v>54</v>
      </c>
      <c r="M47" t="s">
        <v>50</v>
      </c>
    </row>
    <row r="48" spans="1:13" x14ac:dyDescent="0.25">
      <c r="A48">
        <v>46</v>
      </c>
      <c r="B48" s="1">
        <v>45783</v>
      </c>
      <c r="C48" t="s">
        <v>11</v>
      </c>
      <c r="D48" t="s">
        <v>21</v>
      </c>
      <c r="E48">
        <v>23639</v>
      </c>
      <c r="F48" t="s">
        <v>13</v>
      </c>
      <c r="G48" t="s">
        <v>10</v>
      </c>
      <c r="J48">
        <v>2025</v>
      </c>
      <c r="K48">
        <v>5</v>
      </c>
      <c r="L48" t="s">
        <v>54</v>
      </c>
      <c r="M48" t="s">
        <v>50</v>
      </c>
    </row>
    <row r="49" spans="1:13" x14ac:dyDescent="0.25">
      <c r="A49">
        <v>47</v>
      </c>
      <c r="B49" s="1">
        <v>45784</v>
      </c>
      <c r="C49" t="s">
        <v>11</v>
      </c>
      <c r="D49" t="s">
        <v>22</v>
      </c>
      <c r="E49">
        <v>21836</v>
      </c>
      <c r="F49" t="s">
        <v>13</v>
      </c>
      <c r="G49" t="s">
        <v>10</v>
      </c>
      <c r="J49">
        <v>2025</v>
      </c>
      <c r="K49">
        <v>5</v>
      </c>
      <c r="L49" t="s">
        <v>54</v>
      </c>
      <c r="M49" t="s">
        <v>50</v>
      </c>
    </row>
    <row r="50" spans="1:13" x14ac:dyDescent="0.25">
      <c r="A50">
        <v>48</v>
      </c>
      <c r="B50" s="1">
        <v>45785</v>
      </c>
      <c r="C50" t="s">
        <v>11</v>
      </c>
      <c r="D50" t="s">
        <v>23</v>
      </c>
      <c r="E50">
        <v>47870</v>
      </c>
      <c r="F50" t="s">
        <v>13</v>
      </c>
      <c r="G50" t="s">
        <v>10</v>
      </c>
      <c r="J50">
        <v>2025</v>
      </c>
      <c r="K50">
        <v>5</v>
      </c>
      <c r="L50" t="s">
        <v>54</v>
      </c>
      <c r="M50" t="s">
        <v>50</v>
      </c>
    </row>
    <row r="51" spans="1:13" x14ac:dyDescent="0.25">
      <c r="A51">
        <v>49</v>
      </c>
      <c r="B51" s="1">
        <v>45786</v>
      </c>
      <c r="C51" t="s">
        <v>11</v>
      </c>
      <c r="D51" t="s">
        <v>24</v>
      </c>
      <c r="E51">
        <v>9600</v>
      </c>
      <c r="F51" t="s">
        <v>13</v>
      </c>
      <c r="G51" t="s">
        <v>10</v>
      </c>
      <c r="J51">
        <v>2025</v>
      </c>
      <c r="K51">
        <v>5</v>
      </c>
      <c r="L51" t="s">
        <v>54</v>
      </c>
      <c r="M51" t="s">
        <v>50</v>
      </c>
    </row>
    <row r="52" spans="1:13" x14ac:dyDescent="0.25">
      <c r="A52">
        <v>50</v>
      </c>
      <c r="B52" s="1">
        <v>45786</v>
      </c>
      <c r="C52" t="s">
        <v>18</v>
      </c>
      <c r="D52" t="s">
        <v>19</v>
      </c>
      <c r="E52">
        <v>19800.3</v>
      </c>
      <c r="F52" t="s">
        <v>9</v>
      </c>
      <c r="G52" t="s">
        <v>10</v>
      </c>
      <c r="J52">
        <v>2025</v>
      </c>
      <c r="K52">
        <v>5</v>
      </c>
      <c r="L52" t="s">
        <v>54</v>
      </c>
      <c r="M52" t="s">
        <v>49</v>
      </c>
    </row>
    <row r="53" spans="1:13" x14ac:dyDescent="0.25">
      <c r="A53">
        <v>51</v>
      </c>
      <c r="B53" s="1">
        <v>45787</v>
      </c>
      <c r="C53" t="s">
        <v>26</v>
      </c>
      <c r="D53" t="s">
        <v>30</v>
      </c>
      <c r="E53">
        <v>35000</v>
      </c>
      <c r="F53" t="s">
        <v>31</v>
      </c>
      <c r="G53" t="s">
        <v>10</v>
      </c>
      <c r="J53">
        <v>2025</v>
      </c>
      <c r="K53">
        <v>5</v>
      </c>
      <c r="L53" t="s">
        <v>54</v>
      </c>
      <c r="M53" t="s">
        <v>50</v>
      </c>
    </row>
    <row r="54" spans="1:13" x14ac:dyDescent="0.25">
      <c r="A54">
        <v>52</v>
      </c>
      <c r="B54" s="1">
        <v>45789</v>
      </c>
      <c r="C54" t="s">
        <v>14</v>
      </c>
      <c r="D54" t="s">
        <v>29</v>
      </c>
      <c r="E54">
        <v>29990</v>
      </c>
      <c r="F54" t="s">
        <v>9</v>
      </c>
      <c r="G54" t="s">
        <v>10</v>
      </c>
      <c r="J54">
        <v>2025</v>
      </c>
      <c r="K54">
        <v>5</v>
      </c>
      <c r="L54" t="s">
        <v>54</v>
      </c>
      <c r="M54" t="s">
        <v>49</v>
      </c>
    </row>
    <row r="55" spans="1:13" x14ac:dyDescent="0.25">
      <c r="A55">
        <v>53</v>
      </c>
      <c r="B55" s="1">
        <v>45791</v>
      </c>
      <c r="C55" t="s">
        <v>14</v>
      </c>
      <c r="D55" t="s">
        <v>29</v>
      </c>
      <c r="E55">
        <v>9075</v>
      </c>
      <c r="F55" t="s">
        <v>16</v>
      </c>
      <c r="G55" t="s">
        <v>17</v>
      </c>
      <c r="H55">
        <v>1</v>
      </c>
      <c r="I55">
        <v>6</v>
      </c>
      <c r="J55">
        <v>2025</v>
      </c>
      <c r="K55">
        <v>5</v>
      </c>
      <c r="L55" t="s">
        <v>54</v>
      </c>
      <c r="M55" t="s">
        <v>50</v>
      </c>
    </row>
    <row r="56" spans="1:13" x14ac:dyDescent="0.25">
      <c r="A56">
        <v>54</v>
      </c>
      <c r="B56" s="1">
        <v>45792</v>
      </c>
      <c r="C56" t="s">
        <v>7</v>
      </c>
      <c r="D56" t="s">
        <v>25</v>
      </c>
      <c r="E56">
        <v>7448</v>
      </c>
      <c r="F56" t="s">
        <v>16</v>
      </c>
      <c r="G56" t="s">
        <v>10</v>
      </c>
      <c r="J56">
        <v>2025</v>
      </c>
      <c r="K56">
        <v>5</v>
      </c>
      <c r="L56" t="s">
        <v>54</v>
      </c>
      <c r="M56" t="s">
        <v>49</v>
      </c>
    </row>
    <row r="57" spans="1:13" x14ac:dyDescent="0.25">
      <c r="A57">
        <v>55</v>
      </c>
      <c r="B57" s="1">
        <v>45801</v>
      </c>
      <c r="C57" t="s">
        <v>14</v>
      </c>
      <c r="D57" t="s">
        <v>29</v>
      </c>
      <c r="E57">
        <v>45590</v>
      </c>
      <c r="F57" t="s">
        <v>9</v>
      </c>
      <c r="G57" t="s">
        <v>10</v>
      </c>
      <c r="J57">
        <v>2025</v>
      </c>
      <c r="K57">
        <v>5</v>
      </c>
      <c r="L57" t="s">
        <v>54</v>
      </c>
      <c r="M57" t="s">
        <v>49</v>
      </c>
    </row>
    <row r="58" spans="1:13" x14ac:dyDescent="0.25">
      <c r="A58">
        <v>56</v>
      </c>
      <c r="B58" s="1">
        <v>45809</v>
      </c>
      <c r="C58" t="s">
        <v>7</v>
      </c>
      <c r="D58" t="s">
        <v>8</v>
      </c>
      <c r="E58">
        <v>10000</v>
      </c>
      <c r="F58" t="s">
        <v>9</v>
      </c>
      <c r="G58" t="s">
        <v>10</v>
      </c>
      <c r="J58">
        <v>2025</v>
      </c>
      <c r="K58">
        <v>6</v>
      </c>
      <c r="L58" t="s">
        <v>55</v>
      </c>
      <c r="M58" t="s">
        <v>49</v>
      </c>
    </row>
    <row r="59" spans="1:13" x14ac:dyDescent="0.25">
      <c r="A59">
        <v>57</v>
      </c>
      <c r="B59" s="1">
        <v>45813</v>
      </c>
      <c r="C59" t="s">
        <v>11</v>
      </c>
      <c r="D59" t="s">
        <v>12</v>
      </c>
      <c r="E59">
        <v>9386</v>
      </c>
      <c r="F59" t="s">
        <v>13</v>
      </c>
      <c r="G59" t="s">
        <v>10</v>
      </c>
      <c r="J59">
        <v>2025</v>
      </c>
      <c r="K59">
        <v>6</v>
      </c>
      <c r="L59" t="s">
        <v>55</v>
      </c>
      <c r="M59" t="s">
        <v>50</v>
      </c>
    </row>
    <row r="60" spans="1:13" x14ac:dyDescent="0.25">
      <c r="A60">
        <v>58</v>
      </c>
      <c r="B60" s="1">
        <v>45814</v>
      </c>
      <c r="C60" t="s">
        <v>14</v>
      </c>
      <c r="D60" t="s">
        <v>15</v>
      </c>
      <c r="E60">
        <v>36546.44</v>
      </c>
      <c r="F60" t="s">
        <v>16</v>
      </c>
      <c r="G60" t="s">
        <v>17</v>
      </c>
      <c r="H60">
        <v>6</v>
      </c>
      <c r="I60">
        <v>6</v>
      </c>
      <c r="J60">
        <v>2025</v>
      </c>
      <c r="K60">
        <v>6</v>
      </c>
      <c r="L60" t="s">
        <v>55</v>
      </c>
      <c r="M60" t="s">
        <v>50</v>
      </c>
    </row>
    <row r="61" spans="1:13" x14ac:dyDescent="0.25">
      <c r="A61">
        <v>59</v>
      </c>
      <c r="B61" s="1">
        <v>45814</v>
      </c>
      <c r="C61" t="s">
        <v>11</v>
      </c>
      <c r="D61" t="s">
        <v>21</v>
      </c>
      <c r="E61">
        <v>23605</v>
      </c>
      <c r="F61" t="s">
        <v>13</v>
      </c>
      <c r="G61" t="s">
        <v>10</v>
      </c>
      <c r="J61">
        <v>2025</v>
      </c>
      <c r="K61">
        <v>6</v>
      </c>
      <c r="L61" t="s">
        <v>55</v>
      </c>
      <c r="M61" t="s">
        <v>50</v>
      </c>
    </row>
    <row r="62" spans="1:13" x14ac:dyDescent="0.25">
      <c r="A62">
        <v>60</v>
      </c>
      <c r="B62" s="1">
        <v>45815</v>
      </c>
      <c r="C62" t="s">
        <v>11</v>
      </c>
      <c r="D62" t="s">
        <v>22</v>
      </c>
      <c r="E62">
        <v>17318</v>
      </c>
      <c r="F62" t="s">
        <v>13</v>
      </c>
      <c r="G62" t="s">
        <v>10</v>
      </c>
      <c r="J62">
        <v>2025</v>
      </c>
      <c r="K62">
        <v>6</v>
      </c>
      <c r="L62" t="s">
        <v>55</v>
      </c>
      <c r="M62" t="s">
        <v>50</v>
      </c>
    </row>
    <row r="63" spans="1:13" x14ac:dyDescent="0.25">
      <c r="A63">
        <v>61</v>
      </c>
      <c r="B63" s="1">
        <v>45816</v>
      </c>
      <c r="C63" t="s">
        <v>11</v>
      </c>
      <c r="D63" t="s">
        <v>23</v>
      </c>
      <c r="E63">
        <v>48381</v>
      </c>
      <c r="F63" t="s">
        <v>13</v>
      </c>
      <c r="G63" t="s">
        <v>10</v>
      </c>
      <c r="J63">
        <v>2025</v>
      </c>
      <c r="K63">
        <v>6</v>
      </c>
      <c r="L63" t="s">
        <v>55</v>
      </c>
      <c r="M63" t="s">
        <v>50</v>
      </c>
    </row>
    <row r="64" spans="1:13" x14ac:dyDescent="0.25">
      <c r="A64">
        <v>62</v>
      </c>
      <c r="B64" s="1">
        <v>45816</v>
      </c>
      <c r="C64" t="s">
        <v>14</v>
      </c>
      <c r="D64" t="s">
        <v>34</v>
      </c>
      <c r="E64">
        <v>56286</v>
      </c>
      <c r="F64" t="s">
        <v>9</v>
      </c>
      <c r="G64" t="s">
        <v>10</v>
      </c>
      <c r="J64">
        <v>2025</v>
      </c>
      <c r="K64">
        <v>6</v>
      </c>
      <c r="L64" t="s">
        <v>55</v>
      </c>
      <c r="M64" t="s">
        <v>49</v>
      </c>
    </row>
    <row r="65" spans="1:13" x14ac:dyDescent="0.25">
      <c r="A65">
        <v>63</v>
      </c>
      <c r="B65" s="1">
        <v>45817</v>
      </c>
      <c r="C65" t="s">
        <v>11</v>
      </c>
      <c r="D65" t="s">
        <v>24</v>
      </c>
      <c r="E65">
        <v>9600</v>
      </c>
      <c r="F65" t="s">
        <v>13</v>
      </c>
      <c r="G65" t="s">
        <v>10</v>
      </c>
      <c r="J65">
        <v>2025</v>
      </c>
      <c r="K65">
        <v>6</v>
      </c>
      <c r="L65" t="s">
        <v>55</v>
      </c>
      <c r="M65" t="s">
        <v>50</v>
      </c>
    </row>
    <row r="66" spans="1:13" x14ac:dyDescent="0.25">
      <c r="A66">
        <v>64</v>
      </c>
      <c r="B66" s="1">
        <v>45818</v>
      </c>
      <c r="C66" t="s">
        <v>26</v>
      </c>
      <c r="D66" t="s">
        <v>30</v>
      </c>
      <c r="E66">
        <v>35000</v>
      </c>
      <c r="F66" t="s">
        <v>31</v>
      </c>
      <c r="G66" t="s">
        <v>10</v>
      </c>
      <c r="J66">
        <v>2025</v>
      </c>
      <c r="K66">
        <v>6</v>
      </c>
      <c r="L66" t="s">
        <v>55</v>
      </c>
      <c r="M66" t="s">
        <v>50</v>
      </c>
    </row>
    <row r="67" spans="1:13" x14ac:dyDescent="0.25">
      <c r="A67">
        <v>65</v>
      </c>
      <c r="B67" s="1">
        <v>45822</v>
      </c>
      <c r="C67" t="s">
        <v>14</v>
      </c>
      <c r="D67" t="s">
        <v>29</v>
      </c>
      <c r="E67">
        <v>9075</v>
      </c>
      <c r="F67" t="s">
        <v>16</v>
      </c>
      <c r="G67" t="s">
        <v>17</v>
      </c>
      <c r="H67">
        <v>2</v>
      </c>
      <c r="I67">
        <v>6</v>
      </c>
      <c r="J67">
        <v>2025</v>
      </c>
      <c r="K67">
        <v>6</v>
      </c>
      <c r="L67" t="s">
        <v>55</v>
      </c>
      <c r="M67" t="s">
        <v>50</v>
      </c>
    </row>
    <row r="68" spans="1:13" x14ac:dyDescent="0.25">
      <c r="A68">
        <v>66</v>
      </c>
      <c r="B68" s="1">
        <v>45828</v>
      </c>
      <c r="C68" t="s">
        <v>14</v>
      </c>
      <c r="D68" t="s">
        <v>33</v>
      </c>
      <c r="E68">
        <v>13830</v>
      </c>
      <c r="F68" t="s">
        <v>20</v>
      </c>
      <c r="G68" t="s">
        <v>10</v>
      </c>
      <c r="J68">
        <v>2025</v>
      </c>
      <c r="K68">
        <v>6</v>
      </c>
      <c r="L68" t="s">
        <v>55</v>
      </c>
      <c r="M68" t="s">
        <v>49</v>
      </c>
    </row>
    <row r="69" spans="1:13" x14ac:dyDescent="0.25">
      <c r="A69">
        <v>67</v>
      </c>
      <c r="B69" s="1">
        <v>45832</v>
      </c>
      <c r="C69" t="s">
        <v>14</v>
      </c>
      <c r="D69" t="s">
        <v>29</v>
      </c>
      <c r="E69">
        <v>45590</v>
      </c>
      <c r="F69" t="s">
        <v>9</v>
      </c>
      <c r="G69" t="s">
        <v>10</v>
      </c>
      <c r="J69">
        <v>2025</v>
      </c>
      <c r="K69">
        <v>6</v>
      </c>
      <c r="L69" t="s">
        <v>55</v>
      </c>
      <c r="M69" t="s">
        <v>49</v>
      </c>
    </row>
    <row r="70" spans="1:13" x14ac:dyDescent="0.25">
      <c r="A70">
        <v>68</v>
      </c>
      <c r="B70" s="1">
        <v>45839</v>
      </c>
      <c r="C70" t="s">
        <v>7</v>
      </c>
      <c r="D70" t="s">
        <v>8</v>
      </c>
      <c r="E70">
        <v>10000</v>
      </c>
      <c r="F70" t="s">
        <v>9</v>
      </c>
      <c r="G70" t="s">
        <v>10</v>
      </c>
      <c r="J70">
        <v>2025</v>
      </c>
      <c r="K70">
        <v>7</v>
      </c>
      <c r="L70" t="s">
        <v>56</v>
      </c>
      <c r="M70" t="s">
        <v>49</v>
      </c>
    </row>
    <row r="71" spans="1:13" x14ac:dyDescent="0.25">
      <c r="A71">
        <v>69</v>
      </c>
      <c r="B71" s="1">
        <v>45843</v>
      </c>
      <c r="C71" t="s">
        <v>11</v>
      </c>
      <c r="D71" t="s">
        <v>12</v>
      </c>
      <c r="E71">
        <v>11853</v>
      </c>
      <c r="F71" t="s">
        <v>13</v>
      </c>
      <c r="G71" t="s">
        <v>10</v>
      </c>
      <c r="J71">
        <v>2025</v>
      </c>
      <c r="K71">
        <v>7</v>
      </c>
      <c r="L71" t="s">
        <v>56</v>
      </c>
      <c r="M71" t="s">
        <v>50</v>
      </c>
    </row>
    <row r="72" spans="1:13" x14ac:dyDescent="0.25">
      <c r="A72">
        <v>70</v>
      </c>
      <c r="B72" s="1">
        <v>45844</v>
      </c>
      <c r="C72" t="s">
        <v>11</v>
      </c>
      <c r="D72" t="s">
        <v>21</v>
      </c>
      <c r="E72">
        <v>26561</v>
      </c>
      <c r="F72" t="s">
        <v>13</v>
      </c>
      <c r="G72" t="s">
        <v>10</v>
      </c>
      <c r="J72">
        <v>2025</v>
      </c>
      <c r="K72">
        <v>7</v>
      </c>
      <c r="L72" t="s">
        <v>56</v>
      </c>
      <c r="M72" t="s">
        <v>50</v>
      </c>
    </row>
    <row r="73" spans="1:13" x14ac:dyDescent="0.25">
      <c r="A73">
        <v>71</v>
      </c>
      <c r="B73" s="1">
        <v>45845</v>
      </c>
      <c r="C73" t="s">
        <v>11</v>
      </c>
      <c r="D73" t="s">
        <v>22</v>
      </c>
      <c r="E73">
        <v>16012</v>
      </c>
      <c r="F73" t="s">
        <v>13</v>
      </c>
      <c r="G73" t="s">
        <v>10</v>
      </c>
      <c r="J73">
        <v>2025</v>
      </c>
      <c r="K73">
        <v>7</v>
      </c>
      <c r="L73" t="s">
        <v>56</v>
      </c>
      <c r="M73" t="s">
        <v>50</v>
      </c>
    </row>
    <row r="74" spans="1:13" x14ac:dyDescent="0.25">
      <c r="A74">
        <v>72</v>
      </c>
      <c r="B74" s="1">
        <v>45846</v>
      </c>
      <c r="C74" t="s">
        <v>11</v>
      </c>
      <c r="D74" t="s">
        <v>23</v>
      </c>
      <c r="E74">
        <v>36619</v>
      </c>
      <c r="F74" t="s">
        <v>13</v>
      </c>
      <c r="G74" t="s">
        <v>10</v>
      </c>
      <c r="J74">
        <v>2025</v>
      </c>
      <c r="K74">
        <v>7</v>
      </c>
      <c r="L74" t="s">
        <v>56</v>
      </c>
      <c r="M74" t="s">
        <v>50</v>
      </c>
    </row>
    <row r="75" spans="1:13" x14ac:dyDescent="0.25">
      <c r="A75">
        <v>73</v>
      </c>
      <c r="B75" s="1">
        <v>45847</v>
      </c>
      <c r="C75" t="s">
        <v>11</v>
      </c>
      <c r="D75" t="s">
        <v>24</v>
      </c>
      <c r="E75">
        <v>10800</v>
      </c>
      <c r="F75" t="s">
        <v>13</v>
      </c>
      <c r="G75" t="s">
        <v>10</v>
      </c>
      <c r="J75">
        <v>2025</v>
      </c>
      <c r="K75">
        <v>7</v>
      </c>
      <c r="L75" t="s">
        <v>56</v>
      </c>
      <c r="M75" t="s">
        <v>50</v>
      </c>
    </row>
    <row r="76" spans="1:13" x14ac:dyDescent="0.25">
      <c r="A76">
        <v>74</v>
      </c>
      <c r="B76" s="1">
        <v>45848</v>
      </c>
      <c r="C76" t="s">
        <v>26</v>
      </c>
      <c r="D76" t="s">
        <v>30</v>
      </c>
      <c r="E76">
        <v>35000</v>
      </c>
      <c r="F76" t="s">
        <v>31</v>
      </c>
      <c r="G76" t="s">
        <v>10</v>
      </c>
      <c r="J76">
        <v>2025</v>
      </c>
      <c r="K76">
        <v>7</v>
      </c>
      <c r="L76" t="s">
        <v>56</v>
      </c>
      <c r="M76" t="s">
        <v>50</v>
      </c>
    </row>
    <row r="77" spans="1:13" x14ac:dyDescent="0.25">
      <c r="A77">
        <v>75</v>
      </c>
      <c r="B77" s="1">
        <v>45852</v>
      </c>
      <c r="C77" t="s">
        <v>14</v>
      </c>
      <c r="D77" t="s">
        <v>29</v>
      </c>
      <c r="E77">
        <v>9075</v>
      </c>
      <c r="F77" t="s">
        <v>16</v>
      </c>
      <c r="G77" t="s">
        <v>17</v>
      </c>
      <c r="H77">
        <v>3</v>
      </c>
      <c r="I77">
        <v>6</v>
      </c>
      <c r="J77">
        <v>2025</v>
      </c>
      <c r="K77">
        <v>7</v>
      </c>
      <c r="L77" t="s">
        <v>56</v>
      </c>
      <c r="M77" t="s">
        <v>50</v>
      </c>
    </row>
    <row r="78" spans="1:13" x14ac:dyDescent="0.25">
      <c r="A78">
        <v>76</v>
      </c>
      <c r="B78" s="1">
        <v>45852</v>
      </c>
      <c r="C78" t="s">
        <v>14</v>
      </c>
      <c r="D78" t="s">
        <v>35</v>
      </c>
      <c r="E78">
        <v>26857</v>
      </c>
      <c r="F78" t="s">
        <v>9</v>
      </c>
      <c r="G78" t="s">
        <v>10</v>
      </c>
      <c r="J78">
        <v>2025</v>
      </c>
      <c r="K78">
        <v>7</v>
      </c>
      <c r="L78" t="s">
        <v>56</v>
      </c>
      <c r="M78" t="s">
        <v>49</v>
      </c>
    </row>
    <row r="79" spans="1:13" x14ac:dyDescent="0.25">
      <c r="A79">
        <v>77</v>
      </c>
      <c r="B79" s="1">
        <v>45853</v>
      </c>
      <c r="C79" t="s">
        <v>14</v>
      </c>
      <c r="D79" t="s">
        <v>29</v>
      </c>
      <c r="E79">
        <v>48000</v>
      </c>
      <c r="F79" t="s">
        <v>9</v>
      </c>
      <c r="G79" t="s">
        <v>10</v>
      </c>
      <c r="J79">
        <v>2025</v>
      </c>
      <c r="K79">
        <v>7</v>
      </c>
      <c r="L79" t="s">
        <v>56</v>
      </c>
      <c r="M79" t="s">
        <v>49</v>
      </c>
    </row>
    <row r="80" spans="1:13" x14ac:dyDescent="0.25">
      <c r="A80">
        <v>78</v>
      </c>
      <c r="B80" s="1">
        <v>45870</v>
      </c>
      <c r="C80" t="s">
        <v>7</v>
      </c>
      <c r="D80" t="s">
        <v>8</v>
      </c>
      <c r="E80">
        <v>10000</v>
      </c>
      <c r="F80" t="s">
        <v>9</v>
      </c>
      <c r="G80" t="s">
        <v>10</v>
      </c>
      <c r="J80">
        <v>2025</v>
      </c>
      <c r="K80">
        <v>8</v>
      </c>
      <c r="L80" t="s">
        <v>57</v>
      </c>
      <c r="M80" t="s">
        <v>49</v>
      </c>
    </row>
    <row r="81" spans="1:13" x14ac:dyDescent="0.25">
      <c r="A81">
        <v>79</v>
      </c>
      <c r="B81" s="1">
        <v>45874</v>
      </c>
      <c r="C81" t="s">
        <v>11</v>
      </c>
      <c r="D81" t="s">
        <v>12</v>
      </c>
      <c r="E81">
        <v>11547</v>
      </c>
      <c r="F81" t="s">
        <v>13</v>
      </c>
      <c r="G81" t="s">
        <v>10</v>
      </c>
      <c r="J81">
        <v>2025</v>
      </c>
      <c r="K81">
        <v>8</v>
      </c>
      <c r="L81" t="s">
        <v>57</v>
      </c>
      <c r="M81" t="s">
        <v>50</v>
      </c>
    </row>
    <row r="82" spans="1:13" x14ac:dyDescent="0.25">
      <c r="A82">
        <v>80</v>
      </c>
      <c r="B82" s="1">
        <v>45875</v>
      </c>
      <c r="C82" t="s">
        <v>11</v>
      </c>
      <c r="D82" t="s">
        <v>21</v>
      </c>
      <c r="E82">
        <v>21041</v>
      </c>
      <c r="F82" t="s">
        <v>13</v>
      </c>
      <c r="G82" t="s">
        <v>10</v>
      </c>
      <c r="J82">
        <v>2025</v>
      </c>
      <c r="K82">
        <v>8</v>
      </c>
      <c r="L82" t="s">
        <v>57</v>
      </c>
      <c r="M82" t="s">
        <v>50</v>
      </c>
    </row>
    <row r="83" spans="1:13" x14ac:dyDescent="0.25">
      <c r="A83">
        <v>81</v>
      </c>
      <c r="B83" s="1">
        <v>45876</v>
      </c>
      <c r="C83" t="s">
        <v>11</v>
      </c>
      <c r="D83" t="s">
        <v>22</v>
      </c>
      <c r="E83">
        <v>24240</v>
      </c>
      <c r="F83" t="s">
        <v>13</v>
      </c>
      <c r="G83" t="s">
        <v>10</v>
      </c>
      <c r="J83">
        <v>2025</v>
      </c>
      <c r="K83">
        <v>8</v>
      </c>
      <c r="L83" t="s">
        <v>57</v>
      </c>
      <c r="M83" t="s">
        <v>50</v>
      </c>
    </row>
    <row r="84" spans="1:13" x14ac:dyDescent="0.25">
      <c r="A84">
        <v>82</v>
      </c>
      <c r="B84" s="1">
        <v>45877</v>
      </c>
      <c r="C84" t="s">
        <v>11</v>
      </c>
      <c r="D84" t="s">
        <v>23</v>
      </c>
      <c r="E84">
        <v>38151</v>
      </c>
      <c r="F84" t="s">
        <v>13</v>
      </c>
      <c r="G84" t="s">
        <v>10</v>
      </c>
      <c r="J84">
        <v>2025</v>
      </c>
      <c r="K84">
        <v>8</v>
      </c>
      <c r="L84" t="s">
        <v>57</v>
      </c>
      <c r="M84" t="s">
        <v>50</v>
      </c>
    </row>
    <row r="85" spans="1:13" x14ac:dyDescent="0.25">
      <c r="A85">
        <v>83</v>
      </c>
      <c r="B85" s="1">
        <v>45878</v>
      </c>
      <c r="C85" t="s">
        <v>11</v>
      </c>
      <c r="D85" t="s">
        <v>24</v>
      </c>
      <c r="E85">
        <v>10800</v>
      </c>
      <c r="F85" t="s">
        <v>13</v>
      </c>
      <c r="G85" t="s">
        <v>10</v>
      </c>
      <c r="J85">
        <v>2025</v>
      </c>
      <c r="K85">
        <v>8</v>
      </c>
      <c r="L85" t="s">
        <v>57</v>
      </c>
      <c r="M85" t="s">
        <v>50</v>
      </c>
    </row>
    <row r="86" spans="1:13" x14ac:dyDescent="0.25">
      <c r="A86">
        <v>84</v>
      </c>
      <c r="B86" s="1">
        <v>45882</v>
      </c>
      <c r="C86" t="s">
        <v>18</v>
      </c>
      <c r="D86" t="s">
        <v>36</v>
      </c>
      <c r="E86">
        <v>11400</v>
      </c>
      <c r="F86" t="s">
        <v>9</v>
      </c>
      <c r="G86" t="s">
        <v>10</v>
      </c>
      <c r="J86">
        <v>2025</v>
      </c>
      <c r="K86">
        <v>8</v>
      </c>
      <c r="L86" t="s">
        <v>57</v>
      </c>
      <c r="M86" t="s">
        <v>49</v>
      </c>
    </row>
    <row r="87" spans="1:13" x14ac:dyDescent="0.25">
      <c r="A87">
        <v>85</v>
      </c>
      <c r="B87" s="1">
        <v>45883</v>
      </c>
      <c r="C87" t="s">
        <v>14</v>
      </c>
      <c r="D87" t="s">
        <v>29</v>
      </c>
      <c r="E87">
        <v>9075</v>
      </c>
      <c r="F87" t="s">
        <v>16</v>
      </c>
      <c r="G87" t="s">
        <v>17</v>
      </c>
      <c r="H87">
        <v>4</v>
      </c>
      <c r="I87">
        <v>6</v>
      </c>
      <c r="J87">
        <v>2025</v>
      </c>
      <c r="K87">
        <v>8</v>
      </c>
      <c r="L87" t="s">
        <v>57</v>
      </c>
      <c r="M87" t="s">
        <v>50</v>
      </c>
    </row>
    <row r="88" spans="1:13" x14ac:dyDescent="0.25">
      <c r="A88">
        <v>86</v>
      </c>
      <c r="B88" s="1">
        <v>45894</v>
      </c>
      <c r="C88" t="s">
        <v>14</v>
      </c>
      <c r="D88" t="s">
        <v>37</v>
      </c>
      <c r="E88">
        <v>150166</v>
      </c>
      <c r="F88" t="s">
        <v>16</v>
      </c>
      <c r="G88" t="s">
        <v>17</v>
      </c>
      <c r="H88">
        <v>1</v>
      </c>
      <c r="I88">
        <v>6</v>
      </c>
      <c r="J88">
        <v>2025</v>
      </c>
      <c r="K88">
        <v>8</v>
      </c>
      <c r="L88" t="s">
        <v>57</v>
      </c>
      <c r="M88" t="s">
        <v>50</v>
      </c>
    </row>
    <row r="89" spans="1:13" x14ac:dyDescent="0.25">
      <c r="A89">
        <v>87</v>
      </c>
      <c r="B89" s="1">
        <v>45901</v>
      </c>
      <c r="C89" t="s">
        <v>14</v>
      </c>
      <c r="D89" t="s">
        <v>33</v>
      </c>
      <c r="E89">
        <v>26600</v>
      </c>
      <c r="F89" t="s">
        <v>9</v>
      </c>
      <c r="G89" t="s">
        <v>10</v>
      </c>
      <c r="J89">
        <v>2025</v>
      </c>
      <c r="K89">
        <v>9</v>
      </c>
      <c r="L89" t="s">
        <v>58</v>
      </c>
      <c r="M89" t="s">
        <v>49</v>
      </c>
    </row>
    <row r="90" spans="1:13" x14ac:dyDescent="0.25">
      <c r="A90">
        <v>88</v>
      </c>
      <c r="B90" s="1">
        <v>45901</v>
      </c>
      <c r="C90" t="s">
        <v>7</v>
      </c>
      <c r="D90" t="s">
        <v>8</v>
      </c>
      <c r="E90">
        <v>10000</v>
      </c>
      <c r="F90" t="s">
        <v>9</v>
      </c>
      <c r="G90" t="s">
        <v>10</v>
      </c>
      <c r="J90">
        <v>2025</v>
      </c>
      <c r="K90">
        <v>9</v>
      </c>
      <c r="L90" t="s">
        <v>58</v>
      </c>
      <c r="M90" t="s">
        <v>49</v>
      </c>
    </row>
    <row r="91" spans="1:13" x14ac:dyDescent="0.25">
      <c r="A91">
        <v>89</v>
      </c>
      <c r="B91" s="1">
        <v>45903</v>
      </c>
      <c r="C91" t="s">
        <v>14</v>
      </c>
      <c r="D91" t="s">
        <v>33</v>
      </c>
      <c r="E91">
        <v>17300</v>
      </c>
      <c r="F91" t="s">
        <v>9</v>
      </c>
      <c r="G91" t="s">
        <v>10</v>
      </c>
      <c r="J91">
        <v>2025</v>
      </c>
      <c r="K91">
        <v>9</v>
      </c>
      <c r="L91" t="s">
        <v>58</v>
      </c>
      <c r="M91" t="s">
        <v>49</v>
      </c>
    </row>
    <row r="92" spans="1:13" x14ac:dyDescent="0.25">
      <c r="A92">
        <v>90</v>
      </c>
      <c r="B92" s="1">
        <v>45905</v>
      </c>
      <c r="C92" t="s">
        <v>11</v>
      </c>
      <c r="D92" t="s">
        <v>12</v>
      </c>
      <c r="E92">
        <v>9161</v>
      </c>
      <c r="F92" t="s">
        <v>13</v>
      </c>
      <c r="G92" t="s">
        <v>10</v>
      </c>
      <c r="J92">
        <v>2025</v>
      </c>
      <c r="K92">
        <v>9</v>
      </c>
      <c r="L92" t="s">
        <v>58</v>
      </c>
      <c r="M92" t="s">
        <v>50</v>
      </c>
    </row>
    <row r="93" spans="1:13" x14ac:dyDescent="0.25">
      <c r="A93">
        <v>91</v>
      </c>
      <c r="B93" s="1">
        <v>45905</v>
      </c>
      <c r="C93" t="s">
        <v>26</v>
      </c>
      <c r="D93" t="s">
        <v>27</v>
      </c>
      <c r="E93">
        <v>34000</v>
      </c>
      <c r="F93" t="s">
        <v>16</v>
      </c>
      <c r="G93" t="s">
        <v>10</v>
      </c>
      <c r="J93">
        <v>2025</v>
      </c>
      <c r="K93">
        <v>9</v>
      </c>
      <c r="L93" t="s">
        <v>58</v>
      </c>
      <c r="M93" t="s">
        <v>49</v>
      </c>
    </row>
    <row r="94" spans="1:13" x14ac:dyDescent="0.25">
      <c r="A94">
        <v>92</v>
      </c>
      <c r="B94" s="1">
        <v>45906</v>
      </c>
      <c r="C94" t="s">
        <v>11</v>
      </c>
      <c r="D94" t="s">
        <v>21</v>
      </c>
      <c r="E94">
        <v>25915</v>
      </c>
      <c r="F94" t="s">
        <v>13</v>
      </c>
      <c r="G94" t="s">
        <v>10</v>
      </c>
      <c r="J94">
        <v>2025</v>
      </c>
      <c r="K94">
        <v>9</v>
      </c>
      <c r="L94" t="s">
        <v>58</v>
      </c>
      <c r="M94" t="s">
        <v>50</v>
      </c>
    </row>
    <row r="95" spans="1:13" x14ac:dyDescent="0.25">
      <c r="A95">
        <v>93</v>
      </c>
      <c r="B95" s="1">
        <v>45907</v>
      </c>
      <c r="C95" t="s">
        <v>11</v>
      </c>
      <c r="D95" t="s">
        <v>22</v>
      </c>
      <c r="E95">
        <v>17537</v>
      </c>
      <c r="F95" t="s">
        <v>13</v>
      </c>
      <c r="G95" t="s">
        <v>10</v>
      </c>
      <c r="J95">
        <v>2025</v>
      </c>
      <c r="K95">
        <v>9</v>
      </c>
      <c r="L95" t="s">
        <v>58</v>
      </c>
      <c r="M95" t="s">
        <v>50</v>
      </c>
    </row>
    <row r="96" spans="1:13" x14ac:dyDescent="0.25">
      <c r="A96">
        <v>94</v>
      </c>
      <c r="B96" s="1">
        <v>45908</v>
      </c>
      <c r="C96" t="s">
        <v>11</v>
      </c>
      <c r="D96" t="s">
        <v>23</v>
      </c>
      <c r="E96">
        <v>45826</v>
      </c>
      <c r="F96" t="s">
        <v>13</v>
      </c>
      <c r="G96" t="s">
        <v>10</v>
      </c>
      <c r="J96">
        <v>2025</v>
      </c>
      <c r="K96">
        <v>9</v>
      </c>
      <c r="L96" t="s">
        <v>58</v>
      </c>
      <c r="M96" t="s">
        <v>50</v>
      </c>
    </row>
    <row r="97" spans="1:13" x14ac:dyDescent="0.25">
      <c r="A97">
        <v>95</v>
      </c>
      <c r="B97" s="1">
        <v>45909</v>
      </c>
      <c r="C97" t="s">
        <v>11</v>
      </c>
      <c r="D97" t="s">
        <v>24</v>
      </c>
      <c r="E97">
        <v>10800</v>
      </c>
      <c r="F97" t="s">
        <v>13</v>
      </c>
      <c r="G97" t="s">
        <v>10</v>
      </c>
      <c r="J97">
        <v>2025</v>
      </c>
      <c r="K97">
        <v>9</v>
      </c>
      <c r="L97" t="s">
        <v>58</v>
      </c>
      <c r="M97" t="s">
        <v>50</v>
      </c>
    </row>
    <row r="98" spans="1:13" x14ac:dyDescent="0.25">
      <c r="A98">
        <v>96</v>
      </c>
      <c r="B98" s="1">
        <v>45914</v>
      </c>
      <c r="C98" t="s">
        <v>14</v>
      </c>
      <c r="D98" t="s">
        <v>29</v>
      </c>
      <c r="E98">
        <v>9075</v>
      </c>
      <c r="F98" t="s">
        <v>16</v>
      </c>
      <c r="G98" t="s">
        <v>17</v>
      </c>
      <c r="H98">
        <v>5</v>
      </c>
      <c r="I98">
        <v>6</v>
      </c>
      <c r="J98">
        <v>2025</v>
      </c>
      <c r="K98">
        <v>9</v>
      </c>
      <c r="L98" t="s">
        <v>58</v>
      </c>
      <c r="M98" t="s">
        <v>50</v>
      </c>
    </row>
    <row r="99" spans="1:13" x14ac:dyDescent="0.25">
      <c r="A99">
        <v>97</v>
      </c>
      <c r="B99" s="1">
        <v>45915</v>
      </c>
      <c r="C99" t="s">
        <v>7</v>
      </c>
      <c r="D99" t="s">
        <v>25</v>
      </c>
      <c r="E99">
        <v>8852</v>
      </c>
      <c r="F99" t="s">
        <v>20</v>
      </c>
      <c r="G99" t="s">
        <v>10</v>
      </c>
      <c r="J99">
        <v>2025</v>
      </c>
      <c r="K99">
        <v>9</v>
      </c>
      <c r="L99" t="s">
        <v>58</v>
      </c>
      <c r="M99" t="s">
        <v>49</v>
      </c>
    </row>
    <row r="100" spans="1:13" x14ac:dyDescent="0.25">
      <c r="A100">
        <v>98</v>
      </c>
      <c r="B100" s="1">
        <v>45915</v>
      </c>
      <c r="C100" t="s">
        <v>14</v>
      </c>
      <c r="D100" t="s">
        <v>38</v>
      </c>
      <c r="E100">
        <v>27757</v>
      </c>
      <c r="F100" t="s">
        <v>16</v>
      </c>
      <c r="G100" t="s">
        <v>17</v>
      </c>
      <c r="H100">
        <v>1</v>
      </c>
      <c r="I100">
        <v>3</v>
      </c>
      <c r="J100">
        <v>2025</v>
      </c>
      <c r="K100">
        <v>9</v>
      </c>
      <c r="L100" t="s">
        <v>58</v>
      </c>
      <c r="M100" t="s">
        <v>50</v>
      </c>
    </row>
    <row r="101" spans="1:13" x14ac:dyDescent="0.25">
      <c r="A101">
        <v>99</v>
      </c>
      <c r="B101" s="1">
        <v>45915</v>
      </c>
      <c r="C101" t="s">
        <v>14</v>
      </c>
      <c r="D101" t="s">
        <v>34</v>
      </c>
      <c r="E101">
        <v>39691</v>
      </c>
      <c r="F101" t="s">
        <v>9</v>
      </c>
      <c r="G101" t="s">
        <v>10</v>
      </c>
      <c r="J101">
        <v>2025</v>
      </c>
      <c r="K101">
        <v>9</v>
      </c>
      <c r="L101" t="s">
        <v>58</v>
      </c>
      <c r="M101" t="s">
        <v>49</v>
      </c>
    </row>
    <row r="102" spans="1:13" x14ac:dyDescent="0.25">
      <c r="A102">
        <v>100</v>
      </c>
      <c r="B102" s="1">
        <v>45922</v>
      </c>
      <c r="C102" t="s">
        <v>14</v>
      </c>
      <c r="D102" t="s">
        <v>29</v>
      </c>
      <c r="E102">
        <v>33000</v>
      </c>
      <c r="F102" t="s">
        <v>9</v>
      </c>
      <c r="G102" t="s">
        <v>10</v>
      </c>
      <c r="J102">
        <v>2025</v>
      </c>
      <c r="K102">
        <v>9</v>
      </c>
      <c r="L102" t="s">
        <v>58</v>
      </c>
      <c r="M102" t="s">
        <v>49</v>
      </c>
    </row>
    <row r="103" spans="1:13" x14ac:dyDescent="0.25">
      <c r="A103">
        <v>101</v>
      </c>
      <c r="B103" s="1">
        <v>45925</v>
      </c>
      <c r="C103" t="s">
        <v>14</v>
      </c>
      <c r="D103" t="s">
        <v>37</v>
      </c>
      <c r="E103">
        <v>150166</v>
      </c>
      <c r="F103" t="s">
        <v>16</v>
      </c>
      <c r="G103" t="s">
        <v>17</v>
      </c>
      <c r="H103">
        <v>2</v>
      </c>
      <c r="I103">
        <v>6</v>
      </c>
      <c r="J103">
        <v>2025</v>
      </c>
      <c r="K103">
        <v>9</v>
      </c>
      <c r="L103" t="s">
        <v>58</v>
      </c>
      <c r="M103" t="s">
        <v>50</v>
      </c>
    </row>
    <row r="104" spans="1:13" x14ac:dyDescent="0.25">
      <c r="A104">
        <v>102</v>
      </c>
      <c r="B104" s="1">
        <v>45930</v>
      </c>
      <c r="C104" t="s">
        <v>14</v>
      </c>
      <c r="D104" t="s">
        <v>39</v>
      </c>
      <c r="E104">
        <v>25379</v>
      </c>
      <c r="F104" t="s">
        <v>9</v>
      </c>
      <c r="G104" t="s">
        <v>10</v>
      </c>
      <c r="J104">
        <v>2025</v>
      </c>
      <c r="K104">
        <v>9</v>
      </c>
      <c r="L104" t="s">
        <v>58</v>
      </c>
      <c r="M104" t="s">
        <v>49</v>
      </c>
    </row>
    <row r="105" spans="1:13" x14ac:dyDescent="0.25">
      <c r="A105">
        <v>103</v>
      </c>
      <c r="B105" s="1">
        <v>45931</v>
      </c>
      <c r="C105" t="s">
        <v>7</v>
      </c>
      <c r="D105" t="s">
        <v>8</v>
      </c>
      <c r="E105">
        <v>12000</v>
      </c>
      <c r="F105" t="s">
        <v>9</v>
      </c>
      <c r="G105" t="s">
        <v>10</v>
      </c>
      <c r="J105">
        <v>2025</v>
      </c>
      <c r="K105">
        <v>10</v>
      </c>
      <c r="L105" t="s">
        <v>59</v>
      </c>
      <c r="M105" t="s">
        <v>49</v>
      </c>
    </row>
    <row r="106" spans="1:13" x14ac:dyDescent="0.25">
      <c r="A106">
        <v>104</v>
      </c>
      <c r="B106" s="1">
        <v>45935</v>
      </c>
      <c r="C106" t="s">
        <v>11</v>
      </c>
      <c r="D106" t="s">
        <v>12</v>
      </c>
      <c r="E106">
        <v>10863</v>
      </c>
      <c r="F106" t="s">
        <v>13</v>
      </c>
      <c r="G106" t="s">
        <v>10</v>
      </c>
      <c r="J106">
        <v>2025</v>
      </c>
      <c r="K106">
        <v>10</v>
      </c>
      <c r="L106" t="s">
        <v>59</v>
      </c>
      <c r="M106" t="s">
        <v>50</v>
      </c>
    </row>
    <row r="107" spans="1:13" x14ac:dyDescent="0.25">
      <c r="A107">
        <v>105</v>
      </c>
      <c r="B107" s="1">
        <v>45936</v>
      </c>
      <c r="C107" t="s">
        <v>11</v>
      </c>
      <c r="D107" t="s">
        <v>21</v>
      </c>
      <c r="E107">
        <v>18432</v>
      </c>
      <c r="F107" t="s">
        <v>13</v>
      </c>
      <c r="G107" t="s">
        <v>10</v>
      </c>
      <c r="J107">
        <v>2025</v>
      </c>
      <c r="K107">
        <v>10</v>
      </c>
      <c r="L107" t="s">
        <v>59</v>
      </c>
      <c r="M107" t="s">
        <v>50</v>
      </c>
    </row>
    <row r="108" spans="1:13" x14ac:dyDescent="0.25">
      <c r="A108">
        <v>106</v>
      </c>
      <c r="B108" s="1">
        <v>45937</v>
      </c>
      <c r="C108" t="s">
        <v>11</v>
      </c>
      <c r="D108" t="s">
        <v>22</v>
      </c>
      <c r="E108">
        <v>18999</v>
      </c>
      <c r="F108" t="s">
        <v>13</v>
      </c>
      <c r="G108" t="s">
        <v>10</v>
      </c>
      <c r="J108">
        <v>2025</v>
      </c>
      <c r="K108">
        <v>10</v>
      </c>
      <c r="L108" t="s">
        <v>59</v>
      </c>
      <c r="M108" t="s">
        <v>50</v>
      </c>
    </row>
    <row r="109" spans="1:13" x14ac:dyDescent="0.25">
      <c r="A109">
        <v>107</v>
      </c>
      <c r="B109" s="1">
        <v>45938</v>
      </c>
      <c r="C109" t="s">
        <v>11</v>
      </c>
      <c r="D109" t="s">
        <v>23</v>
      </c>
      <c r="E109">
        <v>37039</v>
      </c>
      <c r="F109" t="s">
        <v>13</v>
      </c>
      <c r="G109" t="s">
        <v>10</v>
      </c>
      <c r="J109">
        <v>2025</v>
      </c>
      <c r="K109">
        <v>10</v>
      </c>
      <c r="L109" t="s">
        <v>59</v>
      </c>
      <c r="M109" t="s">
        <v>50</v>
      </c>
    </row>
    <row r="110" spans="1:13" x14ac:dyDescent="0.25">
      <c r="A110">
        <v>108</v>
      </c>
      <c r="B110" s="1">
        <v>45939</v>
      </c>
      <c r="C110" t="s">
        <v>11</v>
      </c>
      <c r="D110" t="s">
        <v>24</v>
      </c>
      <c r="E110">
        <v>11800</v>
      </c>
      <c r="F110" t="s">
        <v>13</v>
      </c>
      <c r="G110" t="s">
        <v>10</v>
      </c>
      <c r="J110">
        <v>2025</v>
      </c>
      <c r="K110">
        <v>10</v>
      </c>
      <c r="L110" t="s">
        <v>59</v>
      </c>
      <c r="M110" t="s">
        <v>50</v>
      </c>
    </row>
    <row r="111" spans="1:13" x14ac:dyDescent="0.25">
      <c r="A111">
        <v>109</v>
      </c>
      <c r="B111" s="1">
        <v>45944</v>
      </c>
      <c r="C111" t="s">
        <v>14</v>
      </c>
      <c r="D111" t="s">
        <v>29</v>
      </c>
      <c r="E111">
        <v>9075</v>
      </c>
      <c r="F111" t="s">
        <v>16</v>
      </c>
      <c r="G111" t="s">
        <v>17</v>
      </c>
      <c r="H111">
        <v>6</v>
      </c>
      <c r="I111">
        <v>6</v>
      </c>
      <c r="J111">
        <v>2025</v>
      </c>
      <c r="K111">
        <v>10</v>
      </c>
      <c r="L111" t="s">
        <v>59</v>
      </c>
      <c r="M111" t="s">
        <v>50</v>
      </c>
    </row>
    <row r="112" spans="1:13" x14ac:dyDescent="0.25">
      <c r="A112">
        <v>110</v>
      </c>
      <c r="B112" s="1">
        <v>45945</v>
      </c>
      <c r="C112" t="s">
        <v>14</v>
      </c>
      <c r="D112" t="s">
        <v>38</v>
      </c>
      <c r="E112">
        <v>27757</v>
      </c>
      <c r="F112" t="s">
        <v>16</v>
      </c>
      <c r="G112" t="s">
        <v>17</v>
      </c>
      <c r="H112">
        <v>2</v>
      </c>
      <c r="I112">
        <v>3</v>
      </c>
      <c r="J112">
        <v>2025</v>
      </c>
      <c r="K112">
        <v>10</v>
      </c>
      <c r="L112" t="s">
        <v>59</v>
      </c>
      <c r="M112" t="s">
        <v>50</v>
      </c>
    </row>
    <row r="113" spans="1:13" x14ac:dyDescent="0.25">
      <c r="A113">
        <v>111</v>
      </c>
      <c r="B113" s="1">
        <v>45955</v>
      </c>
      <c r="C113" t="s">
        <v>14</v>
      </c>
      <c r="D113" t="s">
        <v>37</v>
      </c>
      <c r="E113">
        <v>150166</v>
      </c>
      <c r="F113" t="s">
        <v>16</v>
      </c>
      <c r="G113" t="s">
        <v>17</v>
      </c>
      <c r="H113">
        <v>3</v>
      </c>
      <c r="I113">
        <v>6</v>
      </c>
      <c r="J113">
        <v>2025</v>
      </c>
      <c r="K113">
        <v>10</v>
      </c>
      <c r="L113" t="s">
        <v>59</v>
      </c>
      <c r="M113" t="s">
        <v>50</v>
      </c>
    </row>
    <row r="114" spans="1:13" x14ac:dyDescent="0.25">
      <c r="A114">
        <v>112</v>
      </c>
      <c r="B114" s="1">
        <v>45962</v>
      </c>
      <c r="C114" t="s">
        <v>7</v>
      </c>
      <c r="D114" t="s">
        <v>8</v>
      </c>
      <c r="E114">
        <v>12000</v>
      </c>
      <c r="F114" t="s">
        <v>9</v>
      </c>
      <c r="G114" t="s">
        <v>10</v>
      </c>
      <c r="J114">
        <v>2025</v>
      </c>
      <c r="K114">
        <v>11</v>
      </c>
      <c r="L114" t="s">
        <v>60</v>
      </c>
      <c r="M114" t="s">
        <v>49</v>
      </c>
    </row>
    <row r="115" spans="1:13" x14ac:dyDescent="0.25">
      <c r="A115">
        <v>113</v>
      </c>
      <c r="B115" s="1">
        <v>45964</v>
      </c>
      <c r="C115" t="s">
        <v>14</v>
      </c>
      <c r="D115" t="s">
        <v>32</v>
      </c>
      <c r="E115">
        <v>32999</v>
      </c>
      <c r="F115" t="s">
        <v>9</v>
      </c>
      <c r="G115" t="s">
        <v>10</v>
      </c>
      <c r="J115">
        <v>2025</v>
      </c>
      <c r="K115">
        <v>11</v>
      </c>
      <c r="L115" t="s">
        <v>60</v>
      </c>
      <c r="M115" t="s">
        <v>49</v>
      </c>
    </row>
    <row r="116" spans="1:13" x14ac:dyDescent="0.25">
      <c r="A116">
        <v>114</v>
      </c>
      <c r="B116" s="1">
        <v>45964</v>
      </c>
      <c r="C116" t="s">
        <v>14</v>
      </c>
      <c r="D116" t="s">
        <v>40</v>
      </c>
      <c r="E116">
        <v>27316</v>
      </c>
      <c r="F116" t="s">
        <v>9</v>
      </c>
      <c r="G116" t="s">
        <v>10</v>
      </c>
      <c r="J116">
        <v>2025</v>
      </c>
      <c r="K116">
        <v>11</v>
      </c>
      <c r="L116" t="s">
        <v>60</v>
      </c>
      <c r="M116" t="s">
        <v>49</v>
      </c>
    </row>
    <row r="117" spans="1:13" x14ac:dyDescent="0.25">
      <c r="A117">
        <v>115</v>
      </c>
      <c r="B117" s="1">
        <v>45966</v>
      </c>
      <c r="C117" t="s">
        <v>11</v>
      </c>
      <c r="D117" t="s">
        <v>12</v>
      </c>
      <c r="E117">
        <v>11741</v>
      </c>
      <c r="F117" t="s">
        <v>13</v>
      </c>
      <c r="G117" t="s">
        <v>10</v>
      </c>
      <c r="J117">
        <v>2025</v>
      </c>
      <c r="K117">
        <v>11</v>
      </c>
      <c r="L117" t="s">
        <v>60</v>
      </c>
      <c r="M117" t="s">
        <v>50</v>
      </c>
    </row>
    <row r="118" spans="1:13" x14ac:dyDescent="0.25">
      <c r="A118">
        <v>116</v>
      </c>
      <c r="B118" s="1">
        <v>45967</v>
      </c>
      <c r="C118" t="s">
        <v>11</v>
      </c>
      <c r="D118" t="s">
        <v>21</v>
      </c>
      <c r="E118">
        <v>16378</v>
      </c>
      <c r="F118" t="s">
        <v>13</v>
      </c>
      <c r="G118" t="s">
        <v>10</v>
      </c>
      <c r="J118">
        <v>2025</v>
      </c>
      <c r="K118">
        <v>11</v>
      </c>
      <c r="L118" t="s">
        <v>60</v>
      </c>
      <c r="M118" t="s">
        <v>50</v>
      </c>
    </row>
    <row r="119" spans="1:13" x14ac:dyDescent="0.25">
      <c r="A119">
        <v>117</v>
      </c>
      <c r="B119" s="1">
        <v>45968</v>
      </c>
      <c r="C119" t="s">
        <v>11</v>
      </c>
      <c r="D119" t="s">
        <v>22</v>
      </c>
      <c r="E119">
        <v>21834</v>
      </c>
      <c r="F119" t="s">
        <v>13</v>
      </c>
      <c r="G119" t="s">
        <v>10</v>
      </c>
      <c r="J119">
        <v>2025</v>
      </c>
      <c r="K119">
        <v>11</v>
      </c>
      <c r="L119" t="s">
        <v>60</v>
      </c>
      <c r="M119" t="s">
        <v>50</v>
      </c>
    </row>
    <row r="120" spans="1:13" x14ac:dyDescent="0.25">
      <c r="A120">
        <v>118</v>
      </c>
      <c r="B120" s="1">
        <v>45969</v>
      </c>
      <c r="C120" t="s">
        <v>11</v>
      </c>
      <c r="D120" t="s">
        <v>23</v>
      </c>
      <c r="E120">
        <v>37162</v>
      </c>
      <c r="F120" t="s">
        <v>13</v>
      </c>
      <c r="G120" t="s">
        <v>10</v>
      </c>
      <c r="J120">
        <v>2025</v>
      </c>
      <c r="K120">
        <v>11</v>
      </c>
      <c r="L120" t="s">
        <v>60</v>
      </c>
      <c r="M120" t="s">
        <v>50</v>
      </c>
    </row>
    <row r="121" spans="1:13" x14ac:dyDescent="0.25">
      <c r="A121">
        <v>119</v>
      </c>
      <c r="B121" s="1">
        <v>45970</v>
      </c>
      <c r="C121" t="s">
        <v>11</v>
      </c>
      <c r="D121" t="s">
        <v>24</v>
      </c>
      <c r="E121">
        <v>11800</v>
      </c>
      <c r="F121" t="s">
        <v>13</v>
      </c>
      <c r="G121" t="s">
        <v>10</v>
      </c>
      <c r="J121">
        <v>2025</v>
      </c>
      <c r="K121">
        <v>11</v>
      </c>
      <c r="L121" t="s">
        <v>60</v>
      </c>
      <c r="M121" t="s">
        <v>50</v>
      </c>
    </row>
    <row r="122" spans="1:13" x14ac:dyDescent="0.25">
      <c r="A122">
        <v>120</v>
      </c>
      <c r="B122" s="1">
        <v>45976</v>
      </c>
      <c r="C122" t="s">
        <v>14</v>
      </c>
      <c r="D122" t="s">
        <v>38</v>
      </c>
      <c r="E122">
        <v>27757</v>
      </c>
      <c r="F122" t="s">
        <v>16</v>
      </c>
      <c r="G122" t="s">
        <v>17</v>
      </c>
      <c r="H122">
        <v>3</v>
      </c>
      <c r="I122">
        <v>3</v>
      </c>
      <c r="J122">
        <v>2025</v>
      </c>
      <c r="K122">
        <v>11</v>
      </c>
      <c r="L122" t="s">
        <v>60</v>
      </c>
      <c r="M122" t="s">
        <v>50</v>
      </c>
    </row>
    <row r="123" spans="1:13" x14ac:dyDescent="0.25">
      <c r="A123">
        <v>121</v>
      </c>
      <c r="B123" s="1">
        <v>45982</v>
      </c>
      <c r="C123" t="s">
        <v>14</v>
      </c>
      <c r="D123" t="s">
        <v>29</v>
      </c>
      <c r="E123">
        <v>31459</v>
      </c>
      <c r="F123" t="s">
        <v>16</v>
      </c>
      <c r="G123" t="s">
        <v>10</v>
      </c>
      <c r="J123">
        <v>2025</v>
      </c>
      <c r="K123">
        <v>11</v>
      </c>
      <c r="L123" t="s">
        <v>60</v>
      </c>
      <c r="M123" t="s">
        <v>49</v>
      </c>
    </row>
    <row r="124" spans="1:13" x14ac:dyDescent="0.25">
      <c r="A124">
        <v>122</v>
      </c>
      <c r="B124" s="1">
        <v>45986</v>
      </c>
      <c r="C124" t="s">
        <v>14</v>
      </c>
      <c r="D124" t="s">
        <v>37</v>
      </c>
      <c r="E124">
        <v>150166</v>
      </c>
      <c r="F124" t="s">
        <v>16</v>
      </c>
      <c r="G124" t="s">
        <v>17</v>
      </c>
      <c r="H124">
        <v>4</v>
      </c>
      <c r="I124">
        <v>6</v>
      </c>
      <c r="J124">
        <v>2025</v>
      </c>
      <c r="K124">
        <v>11</v>
      </c>
      <c r="L124" t="s">
        <v>60</v>
      </c>
      <c r="M124" t="s">
        <v>50</v>
      </c>
    </row>
    <row r="125" spans="1:13" x14ac:dyDescent="0.25">
      <c r="A125">
        <v>123</v>
      </c>
      <c r="B125" s="1">
        <v>45992</v>
      </c>
      <c r="C125" t="s">
        <v>7</v>
      </c>
      <c r="D125" t="s">
        <v>8</v>
      </c>
      <c r="E125">
        <v>15000</v>
      </c>
      <c r="F125" t="s">
        <v>9</v>
      </c>
      <c r="G125" t="s">
        <v>10</v>
      </c>
      <c r="J125">
        <v>2025</v>
      </c>
      <c r="K125">
        <v>12</v>
      </c>
      <c r="L125" t="s">
        <v>61</v>
      </c>
      <c r="M125" t="s">
        <v>49</v>
      </c>
    </row>
    <row r="126" spans="1:13" x14ac:dyDescent="0.25">
      <c r="A126">
        <v>124</v>
      </c>
      <c r="B126" s="1">
        <v>45992</v>
      </c>
      <c r="C126" t="s">
        <v>14</v>
      </c>
      <c r="D126" t="s">
        <v>29</v>
      </c>
      <c r="E126">
        <v>43950</v>
      </c>
      <c r="F126" t="s">
        <v>9</v>
      </c>
      <c r="G126" t="s">
        <v>10</v>
      </c>
      <c r="J126">
        <v>2025</v>
      </c>
      <c r="K126">
        <v>12</v>
      </c>
      <c r="L126" t="s">
        <v>61</v>
      </c>
      <c r="M126" t="s">
        <v>49</v>
      </c>
    </row>
    <row r="127" spans="1:13" x14ac:dyDescent="0.25">
      <c r="A127">
        <v>125</v>
      </c>
      <c r="B127" s="1">
        <v>45996</v>
      </c>
      <c r="C127" t="s">
        <v>11</v>
      </c>
      <c r="D127" t="s">
        <v>12</v>
      </c>
      <c r="E127">
        <v>9199</v>
      </c>
      <c r="F127" t="s">
        <v>13</v>
      </c>
      <c r="G127" t="s">
        <v>10</v>
      </c>
      <c r="J127">
        <v>2025</v>
      </c>
      <c r="K127">
        <v>12</v>
      </c>
      <c r="L127" t="s">
        <v>61</v>
      </c>
      <c r="M127" t="s">
        <v>50</v>
      </c>
    </row>
    <row r="128" spans="1:13" x14ac:dyDescent="0.25">
      <c r="A128">
        <v>126</v>
      </c>
      <c r="B128" s="1">
        <v>45997</v>
      </c>
      <c r="C128" t="s">
        <v>11</v>
      </c>
      <c r="D128" t="s">
        <v>21</v>
      </c>
      <c r="E128">
        <v>18707</v>
      </c>
      <c r="F128" t="s">
        <v>13</v>
      </c>
      <c r="G128" t="s">
        <v>10</v>
      </c>
      <c r="J128">
        <v>2025</v>
      </c>
      <c r="K128">
        <v>12</v>
      </c>
      <c r="L128" t="s">
        <v>61</v>
      </c>
      <c r="M128" t="s">
        <v>50</v>
      </c>
    </row>
    <row r="129" spans="1:13" x14ac:dyDescent="0.25">
      <c r="A129">
        <v>127</v>
      </c>
      <c r="B129" s="1">
        <v>45998</v>
      </c>
      <c r="C129" t="s">
        <v>11</v>
      </c>
      <c r="D129" t="s">
        <v>22</v>
      </c>
      <c r="E129">
        <v>19478</v>
      </c>
      <c r="F129" t="s">
        <v>13</v>
      </c>
      <c r="G129" t="s">
        <v>10</v>
      </c>
      <c r="J129">
        <v>2025</v>
      </c>
      <c r="K129">
        <v>12</v>
      </c>
      <c r="L129" t="s">
        <v>61</v>
      </c>
      <c r="M129" t="s">
        <v>50</v>
      </c>
    </row>
    <row r="130" spans="1:13" x14ac:dyDescent="0.25">
      <c r="A130">
        <v>128</v>
      </c>
      <c r="B130" s="1">
        <v>45999</v>
      </c>
      <c r="C130" t="s">
        <v>14</v>
      </c>
      <c r="D130" t="s">
        <v>33</v>
      </c>
      <c r="E130">
        <v>30900</v>
      </c>
      <c r="F130" t="s">
        <v>20</v>
      </c>
      <c r="G130" t="s">
        <v>10</v>
      </c>
      <c r="J130">
        <v>2025</v>
      </c>
      <c r="K130">
        <v>12</v>
      </c>
      <c r="L130" t="s">
        <v>61</v>
      </c>
      <c r="M130" t="s">
        <v>49</v>
      </c>
    </row>
    <row r="131" spans="1:13" x14ac:dyDescent="0.25">
      <c r="A131">
        <v>129</v>
      </c>
      <c r="B131" s="1">
        <v>45999</v>
      </c>
      <c r="C131" t="s">
        <v>11</v>
      </c>
      <c r="D131" t="s">
        <v>23</v>
      </c>
      <c r="E131">
        <v>42734</v>
      </c>
      <c r="F131" t="s">
        <v>13</v>
      </c>
      <c r="G131" t="s">
        <v>10</v>
      </c>
      <c r="J131">
        <v>2025</v>
      </c>
      <c r="K131">
        <v>12</v>
      </c>
      <c r="L131" t="s">
        <v>61</v>
      </c>
      <c r="M131" t="s">
        <v>50</v>
      </c>
    </row>
    <row r="132" spans="1:13" x14ac:dyDescent="0.25">
      <c r="A132">
        <v>130</v>
      </c>
      <c r="B132" s="1">
        <v>46000</v>
      </c>
      <c r="C132" t="s">
        <v>11</v>
      </c>
      <c r="D132" t="s">
        <v>24</v>
      </c>
      <c r="E132">
        <v>11800</v>
      </c>
      <c r="F132" t="s">
        <v>13</v>
      </c>
      <c r="G132" t="s">
        <v>10</v>
      </c>
      <c r="J132">
        <v>2025</v>
      </c>
      <c r="K132">
        <v>12</v>
      </c>
      <c r="L132" t="s">
        <v>61</v>
      </c>
      <c r="M132" t="s">
        <v>50</v>
      </c>
    </row>
    <row r="133" spans="1:13" x14ac:dyDescent="0.25">
      <c r="A133">
        <v>131</v>
      </c>
      <c r="B133" s="1">
        <v>46006</v>
      </c>
      <c r="C133" t="s">
        <v>7</v>
      </c>
      <c r="D133" t="s">
        <v>25</v>
      </c>
      <c r="E133">
        <v>11733</v>
      </c>
      <c r="F133" t="s">
        <v>20</v>
      </c>
      <c r="G133" t="s">
        <v>10</v>
      </c>
      <c r="J133">
        <v>2025</v>
      </c>
      <c r="K133">
        <v>12</v>
      </c>
      <c r="L133" t="s">
        <v>61</v>
      </c>
      <c r="M133" t="s">
        <v>49</v>
      </c>
    </row>
    <row r="134" spans="1:13" x14ac:dyDescent="0.25">
      <c r="A134">
        <v>132</v>
      </c>
      <c r="B134" s="1">
        <v>46006</v>
      </c>
      <c r="C134" t="s">
        <v>18</v>
      </c>
      <c r="D134" t="s">
        <v>36</v>
      </c>
      <c r="E134">
        <v>23440.78</v>
      </c>
      <c r="F134" t="s">
        <v>20</v>
      </c>
      <c r="G134" t="s">
        <v>10</v>
      </c>
      <c r="J134">
        <v>2025</v>
      </c>
      <c r="K134">
        <v>12</v>
      </c>
      <c r="L134" t="s">
        <v>61</v>
      </c>
      <c r="M134" t="s">
        <v>49</v>
      </c>
    </row>
    <row r="135" spans="1:13" x14ac:dyDescent="0.25">
      <c r="A135">
        <v>133</v>
      </c>
      <c r="B135" s="1">
        <v>46016</v>
      </c>
      <c r="C135" t="s">
        <v>14</v>
      </c>
      <c r="D135" t="s">
        <v>37</v>
      </c>
      <c r="E135">
        <v>150166</v>
      </c>
      <c r="F135" t="s">
        <v>16</v>
      </c>
      <c r="G135" t="s">
        <v>17</v>
      </c>
      <c r="H135">
        <v>5</v>
      </c>
      <c r="I135">
        <v>6</v>
      </c>
      <c r="J135">
        <v>2025</v>
      </c>
      <c r="K135">
        <v>12</v>
      </c>
      <c r="L135" t="s">
        <v>61</v>
      </c>
      <c r="M135" t="s">
        <v>50</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3FA71-A7DF-42C4-98E7-33B7B5547E11}">
  <dimension ref="A1:J37"/>
  <sheetViews>
    <sheetView topLeftCell="D1" workbookViewId="0">
      <selection activeCell="J9" sqref="J9"/>
    </sheetView>
  </sheetViews>
  <sheetFormatPr defaultRowHeight="15" x14ac:dyDescent="0.25"/>
  <cols>
    <col min="1" max="1" width="24" bestFit="1" customWidth="1"/>
    <col min="2" max="2" width="11.5703125" bestFit="1" customWidth="1"/>
    <col min="3" max="3" width="24" bestFit="1" customWidth="1"/>
    <col min="4" max="4" width="13.7109375" bestFit="1" customWidth="1"/>
    <col min="5" max="5" width="10.42578125" bestFit="1" customWidth="1"/>
    <col min="6" max="7" width="11" bestFit="1" customWidth="1"/>
    <col min="8" max="8" width="14" bestFit="1" customWidth="1"/>
    <col min="9" max="9" width="25.85546875" bestFit="1" customWidth="1"/>
    <col min="10" max="10" width="14.7109375" bestFit="1" customWidth="1"/>
  </cols>
  <sheetData>
    <row r="1" spans="1:10" x14ac:dyDescent="0.25">
      <c r="A1" s="4" t="s">
        <v>41</v>
      </c>
      <c r="C1" s="4" t="s">
        <v>1</v>
      </c>
      <c r="D1" s="4" t="s">
        <v>62</v>
      </c>
      <c r="F1" s="4" t="s">
        <v>45</v>
      </c>
      <c r="G1" s="4" t="s">
        <v>62</v>
      </c>
    </row>
    <row r="2" spans="1:10" x14ac:dyDescent="0.25">
      <c r="A2" s="14">
        <f>SUM(gastos_2025[Monto])</f>
        <v>3777433.48</v>
      </c>
      <c r="C2" s="3" t="str" cm="1">
        <f t="array" ref="C2:C6">_xlfn.UNIQUE(gastos_2025[Categoría])</f>
        <v>Transporte</v>
      </c>
      <c r="D2" s="6">
        <f>SUMIF(gastos_2025[Categoría],C2,gastos_2025[Monto])</f>
        <v>174904</v>
      </c>
      <c r="F2" s="3" cm="1">
        <f t="array" ref="F2:F13">_xlfn.UNIQUE(gastos_2025[Mes])</f>
        <v>1</v>
      </c>
      <c r="G2" s="6">
        <f>SUMIF(gastos_2025[Mes],F2,gastos_2025[Monto])</f>
        <v>235560.2</v>
      </c>
    </row>
    <row r="3" spans="1:10" x14ac:dyDescent="0.25">
      <c r="C3" s="3" t="str">
        <v>Servicios</v>
      </c>
      <c r="D3" s="6">
        <f>SUMIF(gastos_2025[Categoría],C3,gastos_2025[Monto])</f>
        <v>1250739</v>
      </c>
      <c r="F3" s="3">
        <v>2</v>
      </c>
      <c r="G3" s="6">
        <f>SUMIF(gastos_2025[Mes],F3,gastos_2025[Monto])</f>
        <v>203472.44</v>
      </c>
      <c r="I3" s="4" t="s">
        <v>81</v>
      </c>
      <c r="J3" s="17">
        <f>$A$2</f>
        <v>3777433.48</v>
      </c>
    </row>
    <row r="4" spans="1:10" x14ac:dyDescent="0.25">
      <c r="C4" s="3" t="str">
        <v>Ocio</v>
      </c>
      <c r="D4" s="6">
        <f>SUMIF(gastos_2025[Categoría],C4,gastos_2025[Monto])</f>
        <v>2035768.64</v>
      </c>
      <c r="F4" s="3">
        <v>3</v>
      </c>
      <c r="G4" s="6">
        <f>SUMIF(gastos_2025[Mes],F4,gastos_2025[Monto])</f>
        <v>440364.44</v>
      </c>
      <c r="I4" s="4" t="s">
        <v>82</v>
      </c>
      <c r="J4" s="15">
        <f>$B$9</f>
        <v>0.30870368629231298</v>
      </c>
    </row>
    <row r="5" spans="1:10" x14ac:dyDescent="0.25">
      <c r="A5" s="4" t="s">
        <v>42</v>
      </c>
      <c r="C5" s="3" t="str">
        <v>Supermercado</v>
      </c>
      <c r="D5" s="6">
        <f>SUMIF(gastos_2025[Categoría],C5,gastos_2025[Monto])</f>
        <v>71021.84</v>
      </c>
      <c r="F5" s="3">
        <v>4</v>
      </c>
      <c r="G5" s="6">
        <f>SUMIF(gastos_2025[Mes],F5,gastos_2025[Monto])</f>
        <v>214859.44</v>
      </c>
      <c r="I5" s="4" t="s">
        <v>42</v>
      </c>
      <c r="J5" s="17">
        <f>$A$6</f>
        <v>314786.12333333335</v>
      </c>
    </row>
    <row r="6" spans="1:10" x14ac:dyDescent="0.25">
      <c r="A6" s="6">
        <f>$A$2/COUNT(_xlfn.UNIQUE(gastos_2025[Mes]))</f>
        <v>314786.12333333335</v>
      </c>
      <c r="C6" s="3" t="str">
        <v>Educación</v>
      </c>
      <c r="D6" s="6">
        <f>SUMIF(gastos_2025[Categoría],C6,gastos_2025[Monto])</f>
        <v>245000</v>
      </c>
      <c r="F6" s="3">
        <v>5</v>
      </c>
      <c r="G6" s="6">
        <f>SUMIF(gastos_2025[Mes],F6,gastos_2025[Monto])</f>
        <v>306452.74</v>
      </c>
      <c r="I6" s="4" t="s">
        <v>83</v>
      </c>
      <c r="J6" s="3" t="str">
        <f>IFERROR(PROPER(TEXT(DATE(2000,_xlfn.XLOOKUP(MAX(tablas_dinamicas!B3:B14),tablas_dinamicas!B3:B14,tablas_dinamicas!A3:A14),1),"mmmm")),"N/A")</f>
        <v>Septiembre</v>
      </c>
    </row>
    <row r="7" spans="1:10" x14ac:dyDescent="0.25">
      <c r="F7" s="3">
        <v>6</v>
      </c>
      <c r="G7" s="6">
        <f>SUMIF(gastos_2025[Mes],F7,gastos_2025[Monto])</f>
        <v>314617.44</v>
      </c>
      <c r="I7" s="4" t="s">
        <v>84</v>
      </c>
      <c r="J7" s="3" t="str" cm="1">
        <f t="array" ref="J7">IFERROR(PROPER(TEXT(DATE(2000,_xlfn.XLOOKUP(MAX(D26:D37),D26:D37,_xlfn.ANCHORARRAY(B26)), 1),"mmmm")),"N/A")</f>
        <v>Octubre</v>
      </c>
    </row>
    <row r="8" spans="1:10" x14ac:dyDescent="0.25">
      <c r="A8" s="4" t="s">
        <v>63</v>
      </c>
      <c r="B8" s="4" t="s">
        <v>64</v>
      </c>
      <c r="F8" s="3">
        <v>7</v>
      </c>
      <c r="G8" s="6">
        <f>SUMIF(gastos_2025[Mes],F8,gastos_2025[Monto])</f>
        <v>230777</v>
      </c>
      <c r="I8" s="4" t="s">
        <v>85</v>
      </c>
      <c r="J8" s="3" t="str">
        <f>IFERROR(_xlfn.XLOOKUP(MAX(tablas_dinamicas!B23:B27),tablas_dinamicas!B23:B27,tablas_dinamicas!A23:A27),"N/A")</f>
        <v>Ocio</v>
      </c>
    </row>
    <row r="9" spans="1:10" x14ac:dyDescent="0.25">
      <c r="A9" s="3">
        <f>SUMIF(gastos_2025[En cuotas],"Sí",gastos_2025[Monto])</f>
        <v>1166107.6400000001</v>
      </c>
      <c r="B9" s="6">
        <f>$A$9/$A$2</f>
        <v>0.30870368629231298</v>
      </c>
      <c r="F9" s="3">
        <v>8</v>
      </c>
      <c r="G9" s="6">
        <f>SUMIF(gastos_2025[Mes],F9,gastos_2025[Monto])</f>
        <v>286420</v>
      </c>
      <c r="I9" s="4" t="s">
        <v>86</v>
      </c>
      <c r="J9" s="17">
        <f>$A$9</f>
        <v>1166107.6400000001</v>
      </c>
    </row>
    <row r="10" spans="1:10" x14ac:dyDescent="0.25">
      <c r="F10" s="3">
        <v>9</v>
      </c>
      <c r="G10" s="6">
        <f>SUMIF(gastos_2025[Mes],F10,gastos_2025[Monto])</f>
        <v>491059</v>
      </c>
    </row>
    <row r="11" spans="1:10" x14ac:dyDescent="0.25">
      <c r="F11" s="3">
        <v>10</v>
      </c>
      <c r="G11" s="6">
        <f>SUMIF(gastos_2025[Mes],F11,gastos_2025[Monto])</f>
        <v>296131</v>
      </c>
    </row>
    <row r="12" spans="1:10" x14ac:dyDescent="0.25">
      <c r="A12" s="4" t="s">
        <v>65</v>
      </c>
      <c r="B12" s="6">
        <f>SUMIF(gastos_2025[Tipo de gasto],"Fijo",gastos_2025[Monto])</f>
        <v>2591846.6399999997</v>
      </c>
      <c r="F12" s="3">
        <v>11</v>
      </c>
      <c r="G12" s="6">
        <f>SUMIF(gastos_2025[Mes],F12,gastos_2025[Monto])</f>
        <v>380612</v>
      </c>
    </row>
    <row r="13" spans="1:10" x14ac:dyDescent="0.25">
      <c r="A13" s="4" t="s">
        <v>66</v>
      </c>
      <c r="B13" s="6">
        <f>SUMIF(gastos_2025[Tipo de gasto],"Variable",gastos_2025[Monto])</f>
        <v>1185586.8400000001</v>
      </c>
      <c r="F13" s="3">
        <v>12</v>
      </c>
      <c r="G13" s="6">
        <f>SUMIF(gastos_2025[Mes],F13,gastos_2025[Monto])</f>
        <v>377107.78</v>
      </c>
    </row>
    <row r="14" spans="1:10" x14ac:dyDescent="0.25">
      <c r="A14" s="4" t="s">
        <v>67</v>
      </c>
      <c r="B14" s="6">
        <f>$B$12/$A$2</f>
        <v>0.68613958491202864</v>
      </c>
    </row>
    <row r="15" spans="1:10" x14ac:dyDescent="0.25">
      <c r="A15" s="4" t="s">
        <v>68</v>
      </c>
      <c r="B15" s="6">
        <f>$B$13/$A$2</f>
        <v>0.31386041508797136</v>
      </c>
    </row>
    <row r="17" spans="1:7" x14ac:dyDescent="0.25">
      <c r="A17" s="4" t="s">
        <v>4</v>
      </c>
      <c r="B17" s="4" t="s">
        <v>62</v>
      </c>
      <c r="C17" s="4" t="s">
        <v>64</v>
      </c>
    </row>
    <row r="18" spans="1:7" x14ac:dyDescent="0.25">
      <c r="A18" s="3" t="str" cm="1">
        <f t="array" ref="A18:A22">_xlfn.UNIQUE(gastos_2025[Medio de pago])</f>
        <v>Tarjeta débito</v>
      </c>
      <c r="B18" s="6">
        <f>SUMIF(gastos_2025[Medio de pago],A18,gastos_2025[Monto])</f>
        <v>953672.3</v>
      </c>
      <c r="C18" s="6">
        <f>$B$18/$A$2</f>
        <v>0.25246567677480319</v>
      </c>
    </row>
    <row r="19" spans="1:7" x14ac:dyDescent="0.25">
      <c r="A19" s="3" t="str">
        <v>Débito automático</v>
      </c>
      <c r="B19" s="6">
        <f>SUMIF(gastos_2025[Medio de pago],A19,gastos_2025[Monto])</f>
        <v>1250739</v>
      </c>
      <c r="C19" s="6">
        <f>$B$19/$A$2</f>
        <v>0.33110814700567542</v>
      </c>
    </row>
    <row r="20" spans="1:7" x14ac:dyDescent="0.25">
      <c r="A20" s="3" t="str">
        <v>Tarjeta crédito</v>
      </c>
      <c r="B20" s="6">
        <f>SUMIF(gastos_2025[Medio de pago],A20,gastos_2025[Monto])</f>
        <v>1292885.6400000001</v>
      </c>
      <c r="C20" s="6">
        <f>$B$20/$A$2</f>
        <v>0.34226562740159761</v>
      </c>
    </row>
    <row r="21" spans="1:7" x14ac:dyDescent="0.25">
      <c r="A21" s="3" t="str">
        <v>Efectivo</v>
      </c>
      <c r="B21" s="6">
        <f>SUMIF(gastos_2025[Medio de pago],A21,gastos_2025[Monto])</f>
        <v>105136.54000000001</v>
      </c>
      <c r="C21" s="6">
        <f>$B$21/$A$2</f>
        <v>2.7832797203883524E-2</v>
      </c>
    </row>
    <row r="22" spans="1:7" x14ac:dyDescent="0.25">
      <c r="A22" s="3" t="str">
        <v>Transferencia</v>
      </c>
      <c r="B22" s="6">
        <f>SUMIF(gastos_2025[Medio de pago],A22,gastos_2025[Monto])</f>
        <v>175000</v>
      </c>
      <c r="C22" s="6">
        <f>$B$22/$A$2</f>
        <v>4.6327751614040333E-2</v>
      </c>
    </row>
    <row r="25" spans="1:7" x14ac:dyDescent="0.25">
      <c r="B25" s="4" t="s">
        <v>45</v>
      </c>
      <c r="C25" s="4" t="s">
        <v>87</v>
      </c>
      <c r="D25" s="4" t="s">
        <v>88</v>
      </c>
    </row>
    <row r="26" spans="1:7" x14ac:dyDescent="0.25">
      <c r="B26" s="3" cm="1">
        <f t="array" ref="B26:B37">_xlfn.UNIQUE(gastos_2025[Mes])</f>
        <v>1</v>
      </c>
      <c r="C26" s="6">
        <f>SUMIFS(gastos_2025[Monto],gastos_2025[Mes],B26,gastos_2025[En cuotas],"Sí")</f>
        <v>55972.44</v>
      </c>
      <c r="D26" s="6">
        <f>C26/G2</f>
        <v>0.23761416402261504</v>
      </c>
    </row>
    <row r="27" spans="1:7" x14ac:dyDescent="0.25">
      <c r="B27" s="3">
        <v>2</v>
      </c>
      <c r="C27" s="6">
        <f>SUMIFS(gastos_2025[Monto],gastos_2025[Mes],B27,gastos_2025[En cuotas],"Sí")</f>
        <v>55972.44</v>
      </c>
      <c r="D27" s="6">
        <f t="shared" ref="D27:D37" si="0">C27/G3</f>
        <v>0.27508610011262458</v>
      </c>
    </row>
    <row r="28" spans="1:7" x14ac:dyDescent="0.25">
      <c r="B28" s="3">
        <v>3</v>
      </c>
      <c r="C28" s="6">
        <f>SUMIFS(gastos_2025[Monto],gastos_2025[Mes],B28,gastos_2025[En cuotas],"Sí")</f>
        <v>55972.44</v>
      </c>
      <c r="D28" s="6">
        <f t="shared" si="0"/>
        <v>0.12710481345859806</v>
      </c>
    </row>
    <row r="29" spans="1:7" x14ac:dyDescent="0.25">
      <c r="B29" s="3">
        <v>4</v>
      </c>
      <c r="C29" s="6">
        <f>SUMIFS(gastos_2025[Monto],gastos_2025[Mes],B29,gastos_2025[En cuotas],"Sí")</f>
        <v>36546.44</v>
      </c>
      <c r="D29" s="6">
        <f t="shared" si="0"/>
        <v>0.1700946442008785</v>
      </c>
      <c r="G29" s="16"/>
    </row>
    <row r="30" spans="1:7" x14ac:dyDescent="0.25">
      <c r="B30" s="3">
        <v>5</v>
      </c>
      <c r="C30" s="6">
        <f>SUMIFS(gastos_2025[Monto],gastos_2025[Mes],B30,gastos_2025[En cuotas],"Sí")</f>
        <v>45621.440000000002</v>
      </c>
      <c r="D30" s="6">
        <f t="shared" si="0"/>
        <v>0.14886941457922681</v>
      </c>
    </row>
    <row r="31" spans="1:7" x14ac:dyDescent="0.25">
      <c r="B31" s="3">
        <v>6</v>
      </c>
      <c r="C31" s="6">
        <f>SUMIFS(gastos_2025[Monto],gastos_2025[Mes],B31,gastos_2025[En cuotas],"Sí")</f>
        <v>45621.440000000002</v>
      </c>
      <c r="D31" s="6">
        <f t="shared" si="0"/>
        <v>0.14500607467914048</v>
      </c>
    </row>
    <row r="32" spans="1:7" x14ac:dyDescent="0.25">
      <c r="B32" s="3">
        <v>7</v>
      </c>
      <c r="C32" s="6">
        <f>SUMIFS(gastos_2025[Monto],gastos_2025[Mes],B32,gastos_2025[En cuotas],"Sí")</f>
        <v>9075</v>
      </c>
      <c r="D32" s="6">
        <f t="shared" si="0"/>
        <v>3.9323676102904534E-2</v>
      </c>
    </row>
    <row r="33" spans="2:4" x14ac:dyDescent="0.25">
      <c r="B33" s="3">
        <v>8</v>
      </c>
      <c r="C33" s="6">
        <f>SUMIFS(gastos_2025[Monto],gastos_2025[Mes],B33,gastos_2025[En cuotas],"Sí")</f>
        <v>159241</v>
      </c>
      <c r="D33" s="6">
        <f t="shared" si="0"/>
        <v>0.55597025347391937</v>
      </c>
    </row>
    <row r="34" spans="2:4" x14ac:dyDescent="0.25">
      <c r="B34" s="3">
        <v>9</v>
      </c>
      <c r="C34" s="6">
        <f>SUMIFS(gastos_2025[Monto],gastos_2025[Mes],B34,gastos_2025[En cuotas],"Sí")</f>
        <v>186998</v>
      </c>
      <c r="D34" s="6">
        <f t="shared" si="0"/>
        <v>0.38080556511539349</v>
      </c>
    </row>
    <row r="35" spans="2:4" x14ac:dyDescent="0.25">
      <c r="B35" s="3">
        <v>10</v>
      </c>
      <c r="C35" s="6">
        <f>SUMIFS(gastos_2025[Monto],gastos_2025[Mes],B35,gastos_2025[En cuotas],"Sí")</f>
        <v>186998</v>
      </c>
      <c r="D35" s="6">
        <f t="shared" si="0"/>
        <v>0.63147053162282907</v>
      </c>
    </row>
    <row r="36" spans="2:4" x14ac:dyDescent="0.25">
      <c r="B36" s="3">
        <v>11</v>
      </c>
      <c r="C36" s="6">
        <f>SUMIFS(gastos_2025[Monto],gastos_2025[Mes],B36,gastos_2025[En cuotas],"Sí")</f>
        <v>177923</v>
      </c>
      <c r="D36" s="6">
        <f t="shared" si="0"/>
        <v>0.46746555547381585</v>
      </c>
    </row>
    <row r="37" spans="2:4" x14ac:dyDescent="0.25">
      <c r="B37" s="3">
        <v>12</v>
      </c>
      <c r="C37" s="6">
        <f>SUMIFS(gastos_2025[Monto],gastos_2025[Mes],B37,gastos_2025[En cuotas],"Sí")</f>
        <v>150166</v>
      </c>
      <c r="D37" s="6">
        <f t="shared" si="0"/>
        <v>0.39820446027393014</v>
      </c>
    </row>
  </sheetData>
  <conditionalFormatting sqref="D2:D6">
    <cfRule type="dataBar" priority="1">
      <dataBar>
        <cfvo type="min"/>
        <cfvo type="max"/>
        <color rgb="FF63C384"/>
      </dataBar>
      <extLst>
        <ext xmlns:x14="http://schemas.microsoft.com/office/spreadsheetml/2009/9/main" uri="{B025F937-C7B1-47D3-B67F-A62EFF666E3E}">
          <x14:id>{71D987B1-865E-47B1-968D-DC70F7818BF7}</x14:id>
        </ext>
      </extLst>
    </cfRule>
  </conditionalFormatting>
  <conditionalFormatting sqref="G2:G13">
    <cfRule type="dataBar" priority="2">
      <dataBar>
        <cfvo type="min"/>
        <cfvo type="max"/>
        <color rgb="FF63C384"/>
      </dataBar>
      <extLst>
        <ext xmlns:x14="http://schemas.microsoft.com/office/spreadsheetml/2009/9/main" uri="{B025F937-C7B1-47D3-B67F-A62EFF666E3E}">
          <x14:id>{75C6E5E2-0191-4056-8576-7D55A92A5533}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1D987B1-865E-47B1-968D-DC70F7818BF7}">
            <x14:dataBar minLength="0" maxLength="100" gradient="0">
              <x14:cfvo type="autoMin"/>
              <x14:cfvo type="autoMax"/>
              <x14:negativeFillColor rgb="FFFF0000"/>
              <x14:axisColor rgb="FF000000"/>
            </x14:dataBar>
          </x14:cfRule>
          <xm:sqref>D2:D6</xm:sqref>
        </x14:conditionalFormatting>
        <x14:conditionalFormatting xmlns:xm="http://schemas.microsoft.com/office/excel/2006/main">
          <x14:cfRule type="dataBar" id="{75C6E5E2-0191-4056-8576-7D55A92A5533}">
            <x14:dataBar minLength="0" maxLength="100" gradient="0">
              <x14:cfvo type="autoMin"/>
              <x14:cfvo type="autoMax"/>
              <x14:negativeFillColor rgb="FFFF0000"/>
              <x14:axisColor rgb="FF000000"/>
            </x14:dataBar>
          </x14:cfRule>
          <xm:sqref>G2:G13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7910-430B-4A54-BA20-0F422A032FA4}">
  <dimension ref="A1:J46"/>
  <sheetViews>
    <sheetView topLeftCell="D10" workbookViewId="0">
      <selection activeCell="B43" sqref="B43"/>
    </sheetView>
  </sheetViews>
  <sheetFormatPr defaultRowHeight="15" x14ac:dyDescent="0.25"/>
  <cols>
    <col min="1" max="1" width="11.28515625" bestFit="1" customWidth="1"/>
    <col min="2" max="2" width="16" bestFit="1" customWidth="1"/>
    <col min="3" max="3" width="15.5703125" bestFit="1" customWidth="1"/>
    <col min="4" max="4" width="19.5703125" bestFit="1" customWidth="1"/>
    <col min="5" max="5" width="17.42578125" bestFit="1" customWidth="1"/>
    <col min="6" max="6" width="14.7109375" bestFit="1" customWidth="1"/>
    <col min="7" max="7" width="13.140625" bestFit="1" customWidth="1"/>
    <col min="8" max="8" width="18.7109375" bestFit="1" customWidth="1"/>
    <col min="9" max="9" width="14.7109375" bestFit="1" customWidth="1"/>
    <col min="10" max="10" width="14.28515625" bestFit="1" customWidth="1"/>
    <col min="11" max="11" width="14.7109375" bestFit="1" customWidth="1"/>
    <col min="12" max="13" width="13.140625" bestFit="1" customWidth="1"/>
    <col min="14" max="24" width="12" bestFit="1" customWidth="1"/>
    <col min="25" max="25" width="13.140625" bestFit="1" customWidth="1"/>
    <col min="26" max="26" width="14.7109375" bestFit="1" customWidth="1"/>
    <col min="27" max="27" width="15.42578125" bestFit="1" customWidth="1"/>
    <col min="28" max="28" width="14.7109375" bestFit="1" customWidth="1"/>
    <col min="29" max="29" width="15.42578125" bestFit="1" customWidth="1"/>
    <col min="30" max="50" width="16.85546875" bestFit="1" customWidth="1"/>
    <col min="51" max="51" width="11" bestFit="1" customWidth="1"/>
    <col min="52" max="52" width="15.42578125" bestFit="1" customWidth="1"/>
  </cols>
  <sheetData>
    <row r="1" spans="1:10" x14ac:dyDescent="0.25">
      <c r="A1" t="s">
        <v>70</v>
      </c>
      <c r="E1" t="s">
        <v>71</v>
      </c>
    </row>
    <row r="2" spans="1:10" x14ac:dyDescent="0.25">
      <c r="A2" s="7" t="s">
        <v>46</v>
      </c>
      <c r="B2" s="2" t="s">
        <v>74</v>
      </c>
      <c r="E2" s="9" t="s">
        <v>74</v>
      </c>
      <c r="F2" s="7" t="s">
        <v>72</v>
      </c>
    </row>
    <row r="3" spans="1:10" x14ac:dyDescent="0.25">
      <c r="A3" s="8">
        <v>1</v>
      </c>
      <c r="B3" s="18">
        <v>235560.2</v>
      </c>
      <c r="E3" s="7" t="s">
        <v>46</v>
      </c>
      <c r="F3" t="s">
        <v>14</v>
      </c>
      <c r="G3" t="s">
        <v>11</v>
      </c>
      <c r="H3" t="s">
        <v>26</v>
      </c>
      <c r="I3" t="s">
        <v>7</v>
      </c>
      <c r="J3" t="s">
        <v>18</v>
      </c>
    </row>
    <row r="4" spans="1:10" x14ac:dyDescent="0.25">
      <c r="A4" s="8">
        <v>2</v>
      </c>
      <c r="B4" s="18">
        <v>203472.44</v>
      </c>
      <c r="E4" s="8">
        <v>1</v>
      </c>
      <c r="F4" s="19">
        <v>55972.44</v>
      </c>
      <c r="G4" s="19">
        <v>110107</v>
      </c>
      <c r="H4" s="19">
        <v>36000</v>
      </c>
      <c r="I4" s="19">
        <v>17100</v>
      </c>
      <c r="J4" s="19">
        <v>16380.76</v>
      </c>
    </row>
    <row r="5" spans="1:10" x14ac:dyDescent="0.25">
      <c r="A5" s="8">
        <v>3</v>
      </c>
      <c r="B5" s="18">
        <v>440364.44</v>
      </c>
      <c r="E5" s="8">
        <v>2</v>
      </c>
      <c r="F5" s="19">
        <v>81650.44</v>
      </c>
      <c r="G5" s="19">
        <v>101051</v>
      </c>
      <c r="H5" s="19"/>
      <c r="I5" s="19">
        <v>20771</v>
      </c>
      <c r="J5" s="19"/>
    </row>
    <row r="6" spans="1:10" x14ac:dyDescent="0.25">
      <c r="A6" s="8">
        <v>4</v>
      </c>
      <c r="B6" s="18">
        <v>214859.44</v>
      </c>
      <c r="E6" s="8">
        <v>3</v>
      </c>
      <c r="F6" s="19">
        <v>292927.44</v>
      </c>
      <c r="G6" s="19">
        <v>102437</v>
      </c>
      <c r="H6" s="19">
        <v>35000</v>
      </c>
      <c r="I6" s="19">
        <v>10000</v>
      </c>
      <c r="J6" s="19"/>
    </row>
    <row r="7" spans="1:10" x14ac:dyDescent="0.25">
      <c r="A7" s="8">
        <v>5</v>
      </c>
      <c r="B7" s="18">
        <v>306452.74</v>
      </c>
      <c r="E7" s="8">
        <v>4</v>
      </c>
      <c r="F7" s="19">
        <v>68837.440000000002</v>
      </c>
      <c r="G7" s="19">
        <v>101022</v>
      </c>
      <c r="H7" s="19">
        <v>35000</v>
      </c>
      <c r="I7" s="19">
        <v>10000</v>
      </c>
      <c r="J7" s="19"/>
    </row>
    <row r="8" spans="1:10" x14ac:dyDescent="0.25">
      <c r="A8" s="8">
        <v>6</v>
      </c>
      <c r="B8" s="18">
        <v>314617.44</v>
      </c>
      <c r="E8" s="8">
        <v>5</v>
      </c>
      <c r="F8" s="19">
        <v>121201.44</v>
      </c>
      <c r="G8" s="19">
        <v>113003</v>
      </c>
      <c r="H8" s="19">
        <v>35000</v>
      </c>
      <c r="I8" s="19">
        <v>17448</v>
      </c>
      <c r="J8" s="19">
        <v>19800.3</v>
      </c>
    </row>
    <row r="9" spans="1:10" x14ac:dyDescent="0.25">
      <c r="A9" s="8">
        <v>7</v>
      </c>
      <c r="B9" s="18">
        <v>230777</v>
      </c>
      <c r="E9" s="8">
        <v>6</v>
      </c>
      <c r="F9" s="19">
        <v>161327.44</v>
      </c>
      <c r="G9" s="19">
        <v>108290</v>
      </c>
      <c r="H9" s="19">
        <v>35000</v>
      </c>
      <c r="I9" s="19">
        <v>10000</v>
      </c>
      <c r="J9" s="19"/>
    </row>
    <row r="10" spans="1:10" x14ac:dyDescent="0.25">
      <c r="A10" s="8">
        <v>8</v>
      </c>
      <c r="B10" s="18">
        <v>286420</v>
      </c>
      <c r="E10" s="8">
        <v>7</v>
      </c>
      <c r="F10" s="19">
        <v>83932</v>
      </c>
      <c r="G10" s="19">
        <v>101845</v>
      </c>
      <c r="H10" s="19">
        <v>35000</v>
      </c>
      <c r="I10" s="19">
        <v>10000</v>
      </c>
      <c r="J10" s="19"/>
    </row>
    <row r="11" spans="1:10" x14ac:dyDescent="0.25">
      <c r="A11" s="8">
        <v>9</v>
      </c>
      <c r="B11" s="18">
        <v>491059</v>
      </c>
      <c r="E11" s="8">
        <v>8</v>
      </c>
      <c r="F11" s="19">
        <v>159241</v>
      </c>
      <c r="G11" s="19">
        <v>105779</v>
      </c>
      <c r="H11" s="19"/>
      <c r="I11" s="19">
        <v>10000</v>
      </c>
      <c r="J11" s="19">
        <v>11400</v>
      </c>
    </row>
    <row r="12" spans="1:10" x14ac:dyDescent="0.25">
      <c r="A12" s="8">
        <v>10</v>
      </c>
      <c r="B12" s="18">
        <v>296131</v>
      </c>
      <c r="E12" s="8">
        <v>9</v>
      </c>
      <c r="F12" s="19">
        <v>328968</v>
      </c>
      <c r="G12" s="19">
        <v>109239</v>
      </c>
      <c r="H12" s="19">
        <v>34000</v>
      </c>
      <c r="I12" s="19">
        <v>18852</v>
      </c>
      <c r="J12" s="19"/>
    </row>
    <row r="13" spans="1:10" x14ac:dyDescent="0.25">
      <c r="A13" s="8">
        <v>11</v>
      </c>
      <c r="B13" s="18">
        <v>380612</v>
      </c>
      <c r="E13" s="8">
        <v>10</v>
      </c>
      <c r="F13" s="19">
        <v>186998</v>
      </c>
      <c r="G13" s="19">
        <v>97133</v>
      </c>
      <c r="H13" s="19"/>
      <c r="I13" s="19">
        <v>12000</v>
      </c>
      <c r="J13" s="19"/>
    </row>
    <row r="14" spans="1:10" x14ac:dyDescent="0.25">
      <c r="A14" s="8">
        <v>12</v>
      </c>
      <c r="B14" s="18">
        <v>377107.78</v>
      </c>
      <c r="E14" s="8">
        <v>11</v>
      </c>
      <c r="F14" s="19">
        <v>269697</v>
      </c>
      <c r="G14" s="19">
        <v>98915</v>
      </c>
      <c r="H14" s="19"/>
      <c r="I14" s="19">
        <v>12000</v>
      </c>
      <c r="J14" s="19"/>
    </row>
    <row r="15" spans="1:10" x14ac:dyDescent="0.25">
      <c r="E15" s="8">
        <v>12</v>
      </c>
      <c r="F15" s="19">
        <v>225016</v>
      </c>
      <c r="G15" s="19">
        <v>101918</v>
      </c>
      <c r="H15" s="19"/>
      <c r="I15" s="19">
        <v>26733</v>
      </c>
      <c r="J15" s="19">
        <v>23440.78</v>
      </c>
    </row>
    <row r="21" spans="1:9" x14ac:dyDescent="0.25">
      <c r="A21" t="s">
        <v>73</v>
      </c>
      <c r="E21" t="s">
        <v>75</v>
      </c>
      <c r="H21" t="s">
        <v>76</v>
      </c>
    </row>
    <row r="22" spans="1:9" x14ac:dyDescent="0.25">
      <c r="A22" s="9" t="s">
        <v>1</v>
      </c>
      <c r="B22" s="2" t="s">
        <v>74</v>
      </c>
      <c r="E22" s="9" t="s">
        <v>47</v>
      </c>
      <c r="F22" s="2" t="s">
        <v>74</v>
      </c>
      <c r="H22" s="9" t="s">
        <v>4</v>
      </c>
      <c r="I22" s="2" t="s">
        <v>74</v>
      </c>
    </row>
    <row r="23" spans="1:9" x14ac:dyDescent="0.25">
      <c r="A23" s="8" t="s">
        <v>18</v>
      </c>
      <c r="B23" s="5">
        <v>71021.84</v>
      </c>
      <c r="E23" s="8" t="s">
        <v>50</v>
      </c>
      <c r="F23" s="18">
        <v>2591846.6399999997</v>
      </c>
      <c r="H23" s="8" t="s">
        <v>16</v>
      </c>
      <c r="I23" s="18">
        <v>1292885.6400000001</v>
      </c>
    </row>
    <row r="24" spans="1:9" x14ac:dyDescent="0.25">
      <c r="A24" s="8" t="s">
        <v>7</v>
      </c>
      <c r="B24" s="5">
        <v>174904</v>
      </c>
      <c r="E24" s="8" t="s">
        <v>49</v>
      </c>
      <c r="F24" s="18">
        <v>1185586.8400000001</v>
      </c>
      <c r="H24" s="8" t="s">
        <v>13</v>
      </c>
      <c r="I24" s="18">
        <v>1250739</v>
      </c>
    </row>
    <row r="25" spans="1:9" x14ac:dyDescent="0.25">
      <c r="A25" s="8" t="s">
        <v>26</v>
      </c>
      <c r="B25" s="5">
        <v>245000</v>
      </c>
      <c r="H25" s="8" t="s">
        <v>9</v>
      </c>
      <c r="I25" s="18">
        <v>953672.3</v>
      </c>
    </row>
    <row r="26" spans="1:9" x14ac:dyDescent="0.25">
      <c r="A26" s="8" t="s">
        <v>11</v>
      </c>
      <c r="B26" s="5">
        <v>1250739</v>
      </c>
      <c r="H26" s="8" t="s">
        <v>31</v>
      </c>
      <c r="I26" s="18">
        <v>175000</v>
      </c>
    </row>
    <row r="27" spans="1:9" x14ac:dyDescent="0.25">
      <c r="A27" s="8" t="s">
        <v>14</v>
      </c>
      <c r="B27" s="5">
        <v>2035768.64</v>
      </c>
      <c r="H27" s="8" t="s">
        <v>20</v>
      </c>
      <c r="I27" s="18">
        <v>105136.54000000001</v>
      </c>
    </row>
    <row r="31" spans="1:9" x14ac:dyDescent="0.25">
      <c r="A31" s="8" t="s">
        <v>77</v>
      </c>
    </row>
    <row r="32" spans="1:9" x14ac:dyDescent="0.25">
      <c r="A32" s="7" t="s">
        <v>79</v>
      </c>
      <c r="B32" s="7" t="s">
        <v>43</v>
      </c>
    </row>
    <row r="33" spans="1:8" x14ac:dyDescent="0.25">
      <c r="A33" s="7" t="s">
        <v>45</v>
      </c>
      <c r="B33" s="10" t="s">
        <v>78</v>
      </c>
      <c r="C33" s="10" t="s">
        <v>63</v>
      </c>
      <c r="E33" s="11" t="s">
        <v>78</v>
      </c>
      <c r="F33" s="11" t="s">
        <v>63</v>
      </c>
      <c r="G33" s="11" t="s">
        <v>41</v>
      </c>
      <c r="H33" s="11" t="s">
        <v>80</v>
      </c>
    </row>
    <row r="34" spans="1:8" x14ac:dyDescent="0.25">
      <c r="A34">
        <v>1</v>
      </c>
      <c r="B34" s="19">
        <v>179587.76</v>
      </c>
      <c r="C34" s="19">
        <v>55972.44</v>
      </c>
      <c r="E34" s="20">
        <f>GETPIVOTDATA("Monto",$A$32,"En cuotas","Gasto sin cuotas")</f>
        <v>2611325.84</v>
      </c>
      <c r="F34" s="3">
        <f>GETPIVOTDATA("Monto",$A$32,"En cuotas","Gasto en cuotas")</f>
        <v>1166107.6400000001</v>
      </c>
      <c r="G34" s="20">
        <f>E34+F34</f>
        <v>3777433.48</v>
      </c>
      <c r="H34" s="12">
        <f>$F$34/$G$34</f>
        <v>0.30870368629231298</v>
      </c>
    </row>
    <row r="35" spans="1:8" x14ac:dyDescent="0.25">
      <c r="A35">
        <v>2</v>
      </c>
      <c r="B35" s="19">
        <v>147500</v>
      </c>
      <c r="C35" s="19">
        <v>55972.44</v>
      </c>
    </row>
    <row r="36" spans="1:8" x14ac:dyDescent="0.25">
      <c r="A36">
        <v>3</v>
      </c>
      <c r="B36" s="19">
        <v>384392</v>
      </c>
      <c r="C36" s="19">
        <v>55972.44</v>
      </c>
    </row>
    <row r="37" spans="1:8" x14ac:dyDescent="0.25">
      <c r="A37">
        <v>4</v>
      </c>
      <c r="B37" s="19">
        <v>178313</v>
      </c>
      <c r="C37" s="19">
        <v>36546.44</v>
      </c>
    </row>
    <row r="38" spans="1:8" x14ac:dyDescent="0.25">
      <c r="A38">
        <v>5</v>
      </c>
      <c r="B38" s="19">
        <v>260831.3</v>
      </c>
      <c r="C38" s="19">
        <v>45621.440000000002</v>
      </c>
    </row>
    <row r="39" spans="1:8" x14ac:dyDescent="0.25">
      <c r="A39">
        <v>6</v>
      </c>
      <c r="B39" s="19">
        <v>268996</v>
      </c>
      <c r="C39" s="19">
        <v>45621.440000000002</v>
      </c>
    </row>
    <row r="40" spans="1:8" x14ac:dyDescent="0.25">
      <c r="A40">
        <v>7</v>
      </c>
      <c r="B40" s="19">
        <v>221702</v>
      </c>
      <c r="C40" s="19">
        <v>9075</v>
      </c>
    </row>
    <row r="41" spans="1:8" x14ac:dyDescent="0.25">
      <c r="A41">
        <v>8</v>
      </c>
      <c r="B41" s="19">
        <v>127179</v>
      </c>
      <c r="C41" s="19">
        <v>159241</v>
      </c>
    </row>
    <row r="42" spans="1:8" x14ac:dyDescent="0.25">
      <c r="A42">
        <v>9</v>
      </c>
      <c r="B42" s="19">
        <v>304061</v>
      </c>
      <c r="C42" s="19">
        <v>186998</v>
      </c>
    </row>
    <row r="43" spans="1:8" x14ac:dyDescent="0.25">
      <c r="A43">
        <v>10</v>
      </c>
      <c r="B43" s="19">
        <v>109133</v>
      </c>
      <c r="C43" s="19">
        <v>186998</v>
      </c>
    </row>
    <row r="44" spans="1:8" x14ac:dyDescent="0.25">
      <c r="A44">
        <v>11</v>
      </c>
      <c r="B44" s="19">
        <v>202689</v>
      </c>
      <c r="C44" s="19">
        <v>177923</v>
      </c>
    </row>
    <row r="45" spans="1:8" x14ac:dyDescent="0.25">
      <c r="A45">
        <v>12</v>
      </c>
      <c r="B45" s="19">
        <v>226941.78</v>
      </c>
      <c r="C45" s="19">
        <v>150166</v>
      </c>
    </row>
    <row r="46" spans="1:8" x14ac:dyDescent="0.25">
      <c r="A46" t="s">
        <v>69</v>
      </c>
      <c r="B46" s="19">
        <v>2611325.84</v>
      </c>
      <c r="C46" s="19">
        <v>1166107.6400000001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2A11F-B8BE-4F7B-9F0F-297FE0039A3C}">
  <dimension ref="A1:A5"/>
  <sheetViews>
    <sheetView showGridLines="0" tabSelected="1" topLeftCell="A3" zoomScaleNormal="100" workbookViewId="0">
      <selection activeCell="K17" sqref="K17"/>
    </sheetView>
  </sheetViews>
  <sheetFormatPr defaultRowHeight="15" x14ac:dyDescent="0.25"/>
  <cols>
    <col min="1" max="16384" width="9.140625" style="13"/>
  </cols>
  <sheetData>
    <row r="1" s="13" customFormat="1" x14ac:dyDescent="0.25"/>
    <row r="2" s="13" customFormat="1" x14ac:dyDescent="0.25"/>
    <row r="3" s="13" customFormat="1" x14ac:dyDescent="0.25"/>
    <row r="4" s="13" customFormat="1" x14ac:dyDescent="0.25"/>
    <row r="5" s="13"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69D073-85FF-4B12-8CE5-BF8CC496F7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gastos_2025_dataset</vt:lpstr>
      <vt:lpstr>kpis</vt:lpstr>
      <vt:lpstr>tablas_dinamicas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Sánchez</dc:creator>
  <cp:lastModifiedBy>Mauricio Sánchez</cp:lastModifiedBy>
  <dcterms:created xsi:type="dcterms:W3CDTF">2026-01-10T13:05:57Z</dcterms:created>
  <dcterms:modified xsi:type="dcterms:W3CDTF">2026-01-12T13:06:32Z</dcterms:modified>
</cp:coreProperties>
</file>